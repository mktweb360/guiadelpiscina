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📋 guiadelpiscina.com" sheetId="2" state="visible" r:id="rId2"/>
    <sheet xmlns:r="http://schemas.openxmlformats.org/officeDocument/2006/relationships" name="📋 fitnessfacil.es" sheetId="3" state="visible" r:id="rId3"/>
    <sheet xmlns:r="http://schemas.openxmlformats.org/officeDocument/2006/relationships" name="📋 cuidatumascota.es" sheetId="4" state="visible" r:id="rId4"/>
    <sheet xmlns:r="http://schemas.openxmlformats.org/officeDocument/2006/relationships" name="📋 emprendedigital.es" sheetId="5" state="visible" r:id="rId5"/>
    <sheet xmlns:r="http://schemas.openxmlformats.org/officeDocument/2006/relationships" name="📋 juguetestem.es" sheetId="6" state="visible" r:id="rId6"/>
    <sheet xmlns:r="http://schemas.openxmlformats.org/officeDocument/2006/relationships" name="⚡ Acciones SE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74151"/>
      <sz val="11"/>
    </font>
    <font>
      <name val="Calibri"/>
      <b val="1"/>
      <color rgb="00FFFFFF"/>
      <sz val="10"/>
    </font>
    <font>
      <name val="Calibri"/>
      <b val="1"/>
      <color rgb="000284C7"/>
      <sz val="10"/>
    </font>
    <font>
      <name val="Calibri"/>
      <color rgb="00374151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7C3AED"/>
      <sz val="10"/>
    </font>
    <font>
      <name val="Calibri"/>
      <b val="1"/>
      <color rgb="00DC2626"/>
      <sz val="10"/>
    </font>
    <font>
      <name val="Calibri"/>
      <b val="1"/>
      <color rgb="00FFFFFF"/>
      <sz val="12"/>
    </font>
    <font>
      <name val="Calibri"/>
      <b val="1"/>
      <color rgb="001E3A5F"/>
      <sz val="10"/>
    </font>
    <font>
      <name val="Calibri"/>
      <color rgb="00374151"/>
      <sz val="9"/>
    </font>
    <font>
      <name val="Calibri"/>
      <b val="1"/>
      <color rgb="00FFFFFF"/>
      <sz val="14"/>
    </font>
    <font>
      <name val="Calibri"/>
      <i val="1"/>
      <color rgb="00374151"/>
      <sz val="10"/>
    </font>
    <font>
      <name val="Calibri"/>
      <b val="1"/>
      <color rgb="00FFFFFF"/>
      <sz val="9"/>
    </font>
    <font>
      <name val="Calibri"/>
      <b val="1"/>
      <color rgb="00374151"/>
      <sz val="9"/>
    </font>
    <font>
      <name val="Calibri"/>
      <b val="1"/>
      <color rgb="000284C7"/>
      <sz val="9"/>
    </font>
    <font>
      <name val="Calibri"/>
      <b val="1"/>
      <color rgb="00059669"/>
      <sz val="9"/>
    </font>
    <font>
      <name val="Calibri"/>
      <b val="1"/>
      <color rgb="00D97706"/>
      <sz val="9"/>
    </font>
    <font>
      <name val="Calibri"/>
      <b val="1"/>
      <color rgb="007C3AED"/>
      <sz val="9"/>
    </font>
    <font>
      <name val="Calibri"/>
      <b val="1"/>
      <color rgb="00DC2626"/>
      <sz val="9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0284C7"/>
      </patternFill>
    </fill>
    <fill>
      <patternFill patternType="solid">
        <fgColor rgb="00FEFCE8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10" borderId="0" pivotButton="0" quotePrefix="0" xfId="0"/>
    <xf numFmtId="0" fontId="12" fillId="1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3" fillId="11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3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3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16" fillId="5" borderId="0" pivotButton="0" quotePrefix="0" xfId="0"/>
    <xf numFmtId="0" fontId="17" fillId="5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3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6" fillId="6" borderId="0" pivotButton="0" quotePrefix="0" xfId="0"/>
    <xf numFmtId="0" fontId="18" fillId="6" borderId="0" applyAlignment="1" pivotButton="0" quotePrefix="0" xfId="0">
      <alignment horizontal="center" vertical="center"/>
    </xf>
    <xf numFmtId="0" fontId="13" fillId="15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3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6" fillId="7" borderId="0" pivotButton="0" quotePrefix="0" xfId="0"/>
    <xf numFmtId="0" fontId="19" fillId="7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16" fillId="8" borderId="0" pivotButton="0" quotePrefix="0" xfId="0"/>
    <xf numFmtId="0" fontId="20" fillId="8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3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16" fillId="9" borderId="0" pivotButton="0" quotePrefix="0" xfId="0"/>
    <xf numFmtId="0" fontId="21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Calibri"/>
        <b val="1"/>
        <color rgb="00166534"/>
      </font>
      <fill>
        <patternFill patternType="solid">
          <fgColor rgb="00DCFCE7"/>
        </patternFill>
      </fill>
    </dxf>
    <dxf>
      <font>
        <name val="Calibri"/>
        <b val="1"/>
        <color rgb="00C2410C"/>
      </font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22" customWidth="1" min="10" max="10"/>
    <col width="14" customWidth="1" min="11" max="11"/>
    <col width="28" customWidth="1" min="12" max="12"/>
  </cols>
  <sheetData>
    <row r="1" ht="40" customHeight="1">
      <c r="A1" s="1" t="inlineStr">
        <is>
          <t>SISTEMA DE SEGUIMIENTO DE POSICIONAMIENTO — MKT WEB 360</t>
        </is>
      </c>
    </row>
    <row r="2" ht="22" customHeight="1">
      <c r="A2" s="2" t="inlineStr">
        <is>
          <t>5 sitios · Baseline 15/08/2026 · Revisión: 30 días / 60 días / 90 días</t>
        </is>
      </c>
    </row>
    <row r="3" ht="14" customHeight="1"/>
    <row r="4" ht="30" customHeight="1">
      <c r="A4" s="3" t="inlineStr">
        <is>
          <t>Sitio web</t>
        </is>
      </c>
      <c r="B4" s="3" t="inlineStr">
        <is>
          <t>Keywords trackeadas</t>
        </is>
      </c>
      <c r="C4" s="3" t="inlineStr">
        <is>
          <t>Top 3 (baseline)</t>
        </is>
      </c>
      <c r="D4" s="3" t="inlineStr">
        <is>
          <t>Top 10 (baseline)</t>
        </is>
      </c>
      <c r="E4" s="3" t="inlineStr">
        <is>
          <t>Top 20 (baseline)</t>
        </is>
      </c>
      <c r="F4" s="3" t="inlineStr">
        <is>
          <t>Fuera top 100</t>
        </is>
      </c>
      <c r="G4" s="3" t="inlineStr">
        <is>
          <t>Objetivo 30d</t>
        </is>
      </c>
      <c r="H4" s="3" t="inlineStr">
        <is>
          <t>Objetivo 60d</t>
        </is>
      </c>
      <c r="I4" s="3" t="inlineStr">
        <is>
          <t>Objetivo 90d</t>
        </is>
      </c>
      <c r="J4" s="3" t="inlineStr">
        <is>
          <t>Hoja detalle</t>
        </is>
      </c>
      <c r="K4" s="3" t="inlineStr">
        <is>
          <t>Última revisión</t>
        </is>
      </c>
      <c r="L4" s="3" t="inlineStr">
        <is>
          <t>Notas</t>
        </is>
      </c>
    </row>
    <row r="5" ht="22" customHeight="1">
      <c r="A5" s="4" t="inlineStr">
        <is>
          <t>guiadelpiscina.com</t>
        </is>
      </c>
      <c r="B5" s="5" t="n">
        <v>12</v>
      </c>
      <c r="C5" s="5" t="inlineStr">
        <is>
          <t>—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≥6 en top 20</t>
        </is>
      </c>
      <c r="H5" s="5" t="inlineStr">
        <is>
          <t>≥8 en top 20</t>
        </is>
      </c>
      <c r="I5" s="5" t="inlineStr">
        <is>
          <t>≥12 en top 10</t>
        </is>
      </c>
      <c r="J5" s="5" t="inlineStr">
        <is>
          <t>📋 guiadelpiscina.com</t>
        </is>
      </c>
      <c r="K5" s="5" t="inlineStr">
        <is>
          <t>15/08/2026</t>
        </is>
      </c>
      <c r="L5" s="6" t="inlineStr">
        <is>
          <t>Rellenar tras primera medición GSC</t>
        </is>
      </c>
    </row>
    <row r="6" ht="22" customHeight="1">
      <c r="A6" s="7" t="inlineStr">
        <is>
          <t>fitnessfacil.es</t>
        </is>
      </c>
      <c r="B6" s="8" t="n">
        <v>14</v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≥7 en top 20</t>
        </is>
      </c>
      <c r="H6" s="8" t="inlineStr">
        <is>
          <t>≥9 en top 20</t>
        </is>
      </c>
      <c r="I6" s="8" t="inlineStr">
        <is>
          <t>≥14 en top 10</t>
        </is>
      </c>
      <c r="J6" s="8" t="inlineStr">
        <is>
          <t>📋 fitnessfacil.es</t>
        </is>
      </c>
      <c r="K6" s="8" t="inlineStr">
        <is>
          <t>15/08/2026</t>
        </is>
      </c>
      <c r="L6" s="9" t="inlineStr">
        <is>
          <t>Rellenar tras primera medición GSC</t>
        </is>
      </c>
    </row>
    <row r="7" ht="22" customHeight="1">
      <c r="A7" s="10" t="inlineStr">
        <is>
          <t>cuidatumascota.es</t>
        </is>
      </c>
      <c r="B7" s="11" t="n">
        <v>13</v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≥6 en top 20</t>
        </is>
      </c>
      <c r="H7" s="11" t="inlineStr">
        <is>
          <t>≥8 en top 20</t>
        </is>
      </c>
      <c r="I7" s="11" t="inlineStr">
        <is>
          <t>≥13 en top 10</t>
        </is>
      </c>
      <c r="J7" s="11" t="inlineStr">
        <is>
          <t>📋 cuidatumascota.es</t>
        </is>
      </c>
      <c r="K7" s="11" t="inlineStr">
        <is>
          <t>15/08/2026</t>
        </is>
      </c>
      <c r="L7" s="12" t="inlineStr">
        <is>
          <t>Rellenar tras primera medición GSC</t>
        </is>
      </c>
    </row>
    <row r="8" ht="22" customHeight="1">
      <c r="A8" s="13" t="inlineStr">
        <is>
          <t>emprendedigital.es</t>
        </is>
      </c>
      <c r="B8" s="14" t="n">
        <v>14</v>
      </c>
      <c r="C8" s="14" t="inlineStr">
        <is>
          <t>—</t>
        </is>
      </c>
      <c r="D8" s="14" t="inlineStr">
        <is>
          <t>—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≥7 en top 20</t>
        </is>
      </c>
      <c r="H8" s="14" t="inlineStr">
        <is>
          <t>≥9 en top 20</t>
        </is>
      </c>
      <c r="I8" s="14" t="inlineStr">
        <is>
          <t>≥14 en top 10</t>
        </is>
      </c>
      <c r="J8" s="14" t="inlineStr">
        <is>
          <t>📋 emprendedigital.es</t>
        </is>
      </c>
      <c r="K8" s="14" t="inlineStr">
        <is>
          <t>15/08/2026</t>
        </is>
      </c>
      <c r="L8" s="15" t="inlineStr">
        <is>
          <t>Rellenar tras primera medición GSC</t>
        </is>
      </c>
    </row>
    <row r="9" ht="22" customHeight="1">
      <c r="A9" s="16" t="inlineStr">
        <is>
          <t>juguetestem.es</t>
        </is>
      </c>
      <c r="B9" s="17" t="n">
        <v>13</v>
      </c>
      <c r="C9" s="17" t="inlineStr">
        <is>
          <t>—</t>
        </is>
      </c>
      <c r="D9" s="17" t="inlineStr">
        <is>
          <t>—</t>
        </is>
      </c>
      <c r="E9" s="17" t="inlineStr">
        <is>
          <t>—</t>
        </is>
      </c>
      <c r="F9" s="17" t="inlineStr">
        <is>
          <t>—</t>
        </is>
      </c>
      <c r="G9" s="17" t="inlineStr">
        <is>
          <t>≥6 en top 20</t>
        </is>
      </c>
      <c r="H9" s="17" t="inlineStr">
        <is>
          <t>≥8 en top 20</t>
        </is>
      </c>
      <c r="I9" s="17" t="inlineStr">
        <is>
          <t>≥13 en top 10</t>
        </is>
      </c>
      <c r="J9" s="17" t="inlineStr">
        <is>
          <t>📋 juguetestem.es</t>
        </is>
      </c>
      <c r="K9" s="17" t="inlineStr">
        <is>
          <t>15/08/2026</t>
        </is>
      </c>
      <c r="L9" s="18" t="inlineStr">
        <is>
          <t>Rellenar tras primera medición GSC</t>
        </is>
      </c>
    </row>
    <row r="12" ht="24" customHeight="1">
      <c r="A12" s="19" t="inlineStr">
        <is>
          <t>CÓMO USAR ESTE TRACKER</t>
        </is>
      </c>
    </row>
    <row r="13" ht="30" customHeight="1">
      <c r="A13" s="20" t="inlineStr">
        <is>
          <t>1. BASELINE (Día 1)</t>
        </is>
      </c>
      <c r="B13" s="21" t="inlineStr">
        <is>
          <t>Entra en Google Search Console → Rendimiento → Consultas. Filtra por cada dominio. Busca las keywords de la hoja. Anota la posición media en la columna 'Posición Actual (Baseline 15/08/2026)'.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 ht="30" customHeight="1">
      <c r="A14" s="23" t="inlineStr">
        <is>
          <t>2. REVISIÓN 30 DÍAS</t>
        </is>
      </c>
      <c r="B14" s="24" t="inlineStr">
        <is>
          <t>El 15/08/2026 +30 días. Repite el proceso. Anota en 'Posición 30 días'. La columna 'Δ 30d' calcula el cambio automáticamente.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</row>
    <row r="15" ht="30" customHeight="1">
      <c r="A15" s="20" t="inlineStr">
        <is>
          <t>3. REVISIÓN 60 DÍAS</t>
        </is>
      </c>
      <c r="B15" s="21" t="inlineStr">
        <is>
          <t>Misma operación. Verás el progreso acumulado y podrás identificar qué keywords están escalando y cuáles están estancadas.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 ht="30" customHeight="1">
      <c r="A16" s="23" t="inlineStr">
        <is>
          <t>4. REVISIÓN 90 DÍAS</t>
        </is>
      </c>
      <c r="B16" s="24" t="inlineStr">
        <is>
          <t>Análisis completo. Las keywords con mejora &gt; 10 posiciones confirman que el contenido + link building están funcionando.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</row>
    <row r="17" ht="30" customHeight="1">
      <c r="A17" s="20" t="inlineStr">
        <is>
          <t>5. ACCIÓN</t>
        </is>
      </c>
      <c r="B17" s="21" t="inlineStr">
        <is>
          <t>Keywords sin mejora a los 60 días → revisar el artículo (añadir contenido, mejorar estructura H2/H3, añadir más internal links desde otras páginas).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30" customHeight="1">
      <c r="A18" s="23" t="inlineStr">
        <is>
          <t>FUENTE DE DATOS</t>
        </is>
      </c>
      <c r="B18" s="24" t="inlineStr">
        <is>
          <t>Google Search Console (gratis, datos reales de Google). Complementar con Ahrefs o Semrush para datos de competidores.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</row>
  </sheetData>
  <mergeCells count="9">
    <mergeCell ref="A2:L2"/>
    <mergeCell ref="B13:L13"/>
    <mergeCell ref="B16:L16"/>
    <mergeCell ref="B15:L15"/>
    <mergeCell ref="A1:L1"/>
    <mergeCell ref="B18:L18"/>
    <mergeCell ref="B14:L14"/>
    <mergeCell ref="B17:L17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2" customWidth="1" min="4" max="4"/>
    <col width="11" customWidth="1" min="5" max="5"/>
    <col width="8" customWidth="1" min="6" max="6"/>
    <col width="11" customWidth="1" min="7" max="7"/>
    <col width="8" customWidth="1" min="8" max="8"/>
    <col width="11" customWidth="1" min="9" max="9"/>
    <col width="9" customWidth="1" min="10" max="10"/>
    <col width="12" customWidth="1" min="11" max="11"/>
    <col width="10" customWidth="1" min="12" max="12"/>
    <col width="28" customWidth="1" min="13" max="13"/>
  </cols>
  <sheetData>
    <row r="1" ht="35" customHeight="1">
      <c r="A1" s="26" t="inlineStr">
        <is>
          <t>TRACKER DE POSICIONAMIENTO — GUIADELPISCINA.COM</t>
        </is>
      </c>
    </row>
    <row r="2" ht="20" customHeight="1">
      <c r="A2" s="27" t="inlineStr">
        <is>
          <t>Baseline: 15/08/2026 | Próxima revisión: +30 días | Fuente: Google Search Console</t>
        </is>
      </c>
    </row>
    <row r="3" ht="12" customHeight="1"/>
    <row r="4" ht="38" customHeight="1">
      <c r="A4" s="28" t="inlineStr">
        <is>
          <t>Keyword objetivo</t>
        </is>
      </c>
      <c r="B4" s="28" t="inlineStr">
        <is>
          <t>URL objetivo en el sitio</t>
        </is>
      </c>
      <c r="C4" s="28" t="inlineStr">
        <is>
          <t>Volumen búsq. (est.)</t>
        </is>
      </c>
      <c r="D4" s="28" t="inlineStr">
        <is>
          <t>Posición Actual
Baseline 15/08/2026</t>
        </is>
      </c>
      <c r="E4" s="28" t="inlineStr">
        <is>
          <t>Posición
30 días</t>
        </is>
      </c>
      <c r="F4" s="28" t="inlineStr">
        <is>
          <t>Δ 30d</t>
        </is>
      </c>
      <c r="G4" s="28" t="inlineStr">
        <is>
          <t>Posición
60 días</t>
        </is>
      </c>
      <c r="H4" s="28" t="inlineStr">
        <is>
          <t>Δ 60d</t>
        </is>
      </c>
      <c r="I4" s="28" t="inlineStr">
        <is>
          <t>Posición
90 días</t>
        </is>
      </c>
      <c r="J4" s="28" t="inlineStr">
        <is>
          <t>Δ 90d total</t>
        </is>
      </c>
      <c r="K4" s="28" t="inlineStr">
        <is>
          <t>Intención
búsqueda</t>
        </is>
      </c>
      <c r="L4" s="28" t="inlineStr">
        <is>
          <t>Prioridad</t>
        </is>
      </c>
      <c r="M4" s="28" t="inlineStr">
        <is>
          <t>Notas / acciones</t>
        </is>
      </c>
    </row>
    <row r="5" ht="20" customHeight="1">
      <c r="A5" s="29" t="inlineStr">
        <is>
          <t>mejor piscina desmontable</t>
        </is>
      </c>
      <c r="B5" s="29" t="inlineStr">
        <is>
          <t>/</t>
        </is>
      </c>
      <c r="C5" s="30" t="n">
        <v>14000</v>
      </c>
      <c r="D5" s="31" t="inlineStr"/>
      <c r="E5" s="31" t="inlineStr"/>
      <c r="F5" s="32">
        <f>IF(AND(D5&lt;&gt;"",E5&lt;&gt;""),D5-E5,"")</f>
        <v/>
      </c>
      <c r="G5" s="31" t="inlineStr"/>
      <c r="H5" s="32">
        <f>IF(AND(D5&lt;&gt;"",G5&lt;&gt;""),D5-G5,"")</f>
        <v/>
      </c>
      <c r="I5" s="31" t="inlineStr"/>
      <c r="J5" s="32">
        <f>IF(AND(D5&lt;&gt;"",I5&lt;&gt;""),D5-I5,"")</f>
        <v/>
      </c>
      <c r="K5" s="33" t="inlineStr">
        <is>
          <t>Comercial</t>
        </is>
      </c>
      <c r="L5" s="33" t="inlineStr">
        <is>
          <t>🔴 Alta</t>
        </is>
      </c>
      <c r="M5" s="29" t="inlineStr"/>
    </row>
    <row r="6" ht="20" customHeight="1">
      <c r="A6" s="34" t="inlineStr">
        <is>
          <t>piscina desmontable</t>
        </is>
      </c>
      <c r="B6" s="34" t="inlineStr">
        <is>
          <t>/</t>
        </is>
      </c>
      <c r="C6" s="35" t="n">
        <v>22000</v>
      </c>
      <c r="D6" s="31" t="inlineStr"/>
      <c r="E6" s="31" t="inlineStr"/>
      <c r="F6" s="32">
        <f>IF(AND(D6&lt;&gt;"",E6&lt;&gt;""),D6-E6,"")</f>
        <v/>
      </c>
      <c r="G6" s="31" t="inlineStr"/>
      <c r="H6" s="32">
        <f>IF(AND(D6&lt;&gt;"",G6&lt;&gt;""),D6-G6,"")</f>
        <v/>
      </c>
      <c r="I6" s="31" t="inlineStr"/>
      <c r="J6" s="32">
        <f>IF(AND(D6&lt;&gt;"",I6&lt;&gt;""),D6-I6,"")</f>
        <v/>
      </c>
      <c r="K6" s="36" t="inlineStr">
        <is>
          <t>Informacional</t>
        </is>
      </c>
      <c r="L6" s="36" t="inlineStr">
        <is>
          <t>🔴 Alta</t>
        </is>
      </c>
      <c r="M6" s="34" t="inlineStr"/>
    </row>
    <row r="7" ht="20" customHeight="1">
      <c r="A7" s="29" t="inlineStr">
        <is>
          <t>mejor piscina desmontable familiar</t>
        </is>
      </c>
      <c r="B7" s="29" t="inlineStr">
        <is>
          <t>/blog/mejores-piscinas-desmontables</t>
        </is>
      </c>
      <c r="C7" s="30" t="n">
        <v>3600</v>
      </c>
      <c r="D7" s="31" t="inlineStr"/>
      <c r="E7" s="31" t="inlineStr"/>
      <c r="F7" s="32">
        <f>IF(AND(D7&lt;&gt;"",E7&lt;&gt;""),D7-E7,"")</f>
        <v/>
      </c>
      <c r="G7" s="31" t="inlineStr"/>
      <c r="H7" s="32">
        <f>IF(AND(D7&lt;&gt;"",G7&lt;&gt;""),D7-G7,"")</f>
        <v/>
      </c>
      <c r="I7" s="31" t="inlineStr"/>
      <c r="J7" s="32">
        <f>IF(AND(D7&lt;&gt;"",I7&lt;&gt;""),D7-I7,"")</f>
        <v/>
      </c>
      <c r="K7" s="33" t="inlineStr">
        <is>
          <t>Comercial</t>
        </is>
      </c>
      <c r="L7" s="33" t="inlineStr">
        <is>
          <t>🟢 Baja</t>
        </is>
      </c>
      <c r="M7" s="29" t="inlineStr"/>
    </row>
    <row r="8" ht="20" customHeight="1">
      <c r="A8" s="34" t="inlineStr">
        <is>
          <t>robot limpiafondos piscina</t>
        </is>
      </c>
      <c r="B8" s="34" t="inlineStr">
        <is>
          <t>/tienda</t>
        </is>
      </c>
      <c r="C8" s="35" t="n">
        <v>9900</v>
      </c>
      <c r="D8" s="31" t="inlineStr"/>
      <c r="E8" s="31" t="inlineStr"/>
      <c r="F8" s="32">
        <f>IF(AND(D8&lt;&gt;"",E8&lt;&gt;""),D8-E8,"")</f>
        <v/>
      </c>
      <c r="G8" s="31" t="inlineStr"/>
      <c r="H8" s="32">
        <f>IF(AND(D8&lt;&gt;"",G8&lt;&gt;""),D8-G8,"")</f>
        <v/>
      </c>
      <c r="I8" s="31" t="inlineStr"/>
      <c r="J8" s="32">
        <f>IF(AND(D8&lt;&gt;"",I8&lt;&gt;""),D8-I8,"")</f>
        <v/>
      </c>
      <c r="K8" s="36" t="inlineStr">
        <is>
          <t>Informacional</t>
        </is>
      </c>
      <c r="L8" s="36" t="inlineStr">
        <is>
          <t>🟡 Media</t>
        </is>
      </c>
      <c r="M8" s="34" t="inlineStr"/>
    </row>
    <row r="9" ht="20" customHeight="1">
      <c r="A9" s="29" t="inlineStr">
        <is>
          <t>mejor robot limpiafondos</t>
        </is>
      </c>
      <c r="B9" s="29" t="inlineStr">
        <is>
          <t>/blog/mejores-robots-limpiafondos</t>
        </is>
      </c>
      <c r="C9" s="30" t="n">
        <v>5400</v>
      </c>
      <c r="D9" s="31" t="inlineStr"/>
      <c r="E9" s="31" t="inlineStr"/>
      <c r="F9" s="32">
        <f>IF(AND(D9&lt;&gt;"",E9&lt;&gt;""),D9-E9,"")</f>
        <v/>
      </c>
      <c r="G9" s="31" t="inlineStr"/>
      <c r="H9" s="32">
        <f>IF(AND(D9&lt;&gt;"",G9&lt;&gt;""),D9-G9,"")</f>
        <v/>
      </c>
      <c r="I9" s="31" t="inlineStr"/>
      <c r="J9" s="32">
        <f>IF(AND(D9&lt;&gt;"",I9&lt;&gt;""),D9-I9,"")</f>
        <v/>
      </c>
      <c r="K9" s="33" t="inlineStr">
        <is>
          <t>Comercial</t>
        </is>
      </c>
      <c r="L9" s="33" t="inlineStr">
        <is>
          <t>🟡 Media</t>
        </is>
      </c>
      <c r="M9" s="29" t="inlineStr"/>
    </row>
    <row r="10" ht="20" customHeight="1">
      <c r="A10" s="34" t="inlineStr">
        <is>
          <t>mantenimiento piscina verano</t>
        </is>
      </c>
      <c r="B10" s="34" t="inlineStr">
        <is>
          <t>/blog/mantenimiento-agua-piscina</t>
        </is>
      </c>
      <c r="C10" s="35" t="n">
        <v>4400</v>
      </c>
      <c r="D10" s="31" t="inlineStr"/>
      <c r="E10" s="31" t="inlineStr"/>
      <c r="F10" s="32">
        <f>IF(AND(D10&lt;&gt;"",E10&lt;&gt;""),D10-E10,"")</f>
        <v/>
      </c>
      <c r="G10" s="31" t="inlineStr"/>
      <c r="H10" s="32">
        <f>IF(AND(D10&lt;&gt;"",G10&lt;&gt;""),D10-G10,"")</f>
        <v/>
      </c>
      <c r="I10" s="31" t="inlineStr"/>
      <c r="J10" s="32">
        <f>IF(AND(D10&lt;&gt;"",I10&lt;&gt;""),D10-I10,"")</f>
        <v/>
      </c>
      <c r="K10" s="36" t="inlineStr">
        <is>
          <t>Informacional</t>
        </is>
      </c>
      <c r="L10" s="36" t="inlineStr">
        <is>
          <t>🟡 Media</t>
        </is>
      </c>
      <c r="M10" s="34" t="inlineStr"/>
    </row>
    <row r="11" ht="20" customHeight="1">
      <c r="A11" s="29" t="inlineStr">
        <is>
          <t>dosificacion cloro piscina</t>
        </is>
      </c>
      <c r="B11" s="29" t="inlineStr">
        <is>
          <t>/blog/como-calcular-cloro-piscina</t>
        </is>
      </c>
      <c r="C11" s="30" t="n">
        <v>2900</v>
      </c>
      <c r="D11" s="31" t="inlineStr"/>
      <c r="E11" s="31" t="inlineStr"/>
      <c r="F11" s="32">
        <f>IF(AND(D11&lt;&gt;"",E11&lt;&gt;""),D11-E11,"")</f>
        <v/>
      </c>
      <c r="G11" s="31" t="inlineStr"/>
      <c r="H11" s="32">
        <f>IF(AND(D11&lt;&gt;"",G11&lt;&gt;""),D11-G11,"")</f>
        <v/>
      </c>
      <c r="I11" s="31" t="inlineStr"/>
      <c r="J11" s="32">
        <f>IF(AND(D11&lt;&gt;"",I11&lt;&gt;""),D11-I11,"")</f>
        <v/>
      </c>
      <c r="K11" s="33" t="inlineStr">
        <is>
          <t>Informacional</t>
        </is>
      </c>
      <c r="L11" s="33" t="inlineStr">
        <is>
          <t>🟢 Baja</t>
        </is>
      </c>
      <c r="M11" s="29" t="inlineStr"/>
    </row>
    <row r="12" ht="20" customHeight="1">
      <c r="A12" s="34" t="inlineStr">
        <is>
          <t>nivel ph piscina</t>
        </is>
      </c>
      <c r="B12" s="34" t="inlineStr">
        <is>
          <t>/blog/ph-piscina-guia-completa</t>
        </is>
      </c>
      <c r="C12" s="35" t="n">
        <v>3200</v>
      </c>
      <c r="D12" s="31" t="inlineStr"/>
      <c r="E12" s="31" t="inlineStr"/>
      <c r="F12" s="32">
        <f>IF(AND(D12&lt;&gt;"",E12&lt;&gt;""),D12-E12,"")</f>
        <v/>
      </c>
      <c r="G12" s="31" t="inlineStr"/>
      <c r="H12" s="32">
        <f>IF(AND(D12&lt;&gt;"",G12&lt;&gt;""),D12-G12,"")</f>
        <v/>
      </c>
      <c r="I12" s="31" t="inlineStr"/>
      <c r="J12" s="32">
        <f>IF(AND(D12&lt;&gt;"",I12&lt;&gt;""),D12-I12,"")</f>
        <v/>
      </c>
      <c r="K12" s="36" t="inlineStr">
        <is>
          <t>Informacional</t>
        </is>
      </c>
      <c r="L12" s="36" t="inlineStr">
        <is>
          <t>🟢 Baja</t>
        </is>
      </c>
      <c r="M12" s="34" t="inlineStr"/>
    </row>
    <row r="13" ht="20" customHeight="1">
      <c r="A13" s="29" t="inlineStr">
        <is>
          <t>piscina enterrada precio</t>
        </is>
      </c>
      <c r="B13" s="29" t="inlineStr">
        <is>
          <t>/blog/piscinas-enterradas-precio</t>
        </is>
      </c>
      <c r="C13" s="30" t="n">
        <v>2100</v>
      </c>
      <c r="D13" s="31" t="inlineStr"/>
      <c r="E13" s="31" t="inlineStr"/>
      <c r="F13" s="32">
        <f>IF(AND(D13&lt;&gt;"",E13&lt;&gt;""),D13-E13,"")</f>
        <v/>
      </c>
      <c r="G13" s="31" t="inlineStr"/>
      <c r="H13" s="32">
        <f>IF(AND(D13&lt;&gt;"",G13&lt;&gt;""),D13-G13,"")</f>
        <v/>
      </c>
      <c r="I13" s="31" t="inlineStr"/>
      <c r="J13" s="32">
        <f>IF(AND(D13&lt;&gt;"",I13&lt;&gt;""),D13-I13,"")</f>
        <v/>
      </c>
      <c r="K13" s="33" t="inlineStr">
        <is>
          <t>Transaccional</t>
        </is>
      </c>
      <c r="L13" s="33" t="inlineStr">
        <is>
          <t>🟢 Baja</t>
        </is>
      </c>
      <c r="M13" s="29" t="inlineStr"/>
    </row>
    <row r="14" ht="20" customHeight="1">
      <c r="A14" s="34" t="inlineStr">
        <is>
          <t>bomba piscina</t>
        </is>
      </c>
      <c r="B14" s="34" t="inlineStr">
        <is>
          <t>/blog/bomba-filtro-piscina-guia</t>
        </is>
      </c>
      <c r="C14" s="35" t="n">
        <v>5800</v>
      </c>
      <c r="D14" s="31" t="inlineStr"/>
      <c r="E14" s="31" t="inlineStr"/>
      <c r="F14" s="32">
        <f>IF(AND(D14&lt;&gt;"",E14&lt;&gt;""),D14-E14,"")</f>
        <v/>
      </c>
      <c r="G14" s="31" t="inlineStr"/>
      <c r="H14" s="32">
        <f>IF(AND(D14&lt;&gt;"",G14&lt;&gt;""),D14-G14,"")</f>
        <v/>
      </c>
      <c r="I14" s="31" t="inlineStr"/>
      <c r="J14" s="32">
        <f>IF(AND(D14&lt;&gt;"",I14&lt;&gt;""),D14-I14,"")</f>
        <v/>
      </c>
      <c r="K14" s="36" t="inlineStr">
        <is>
          <t>Informacional</t>
        </is>
      </c>
      <c r="L14" s="36" t="inlineStr">
        <is>
          <t>🟡 Media</t>
        </is>
      </c>
      <c r="M14" s="34" t="inlineStr"/>
    </row>
    <row r="15" ht="20" customHeight="1">
      <c r="A15" s="29" t="inlineStr">
        <is>
          <t>cobertor piscina</t>
        </is>
      </c>
      <c r="B15" s="29" t="inlineStr">
        <is>
          <t>/blog/cubiertas-piscina</t>
        </is>
      </c>
      <c r="C15" s="30" t="n">
        <v>2600</v>
      </c>
      <c r="D15" s="31" t="inlineStr"/>
      <c r="E15" s="31" t="inlineStr"/>
      <c r="F15" s="32">
        <f>IF(AND(D15&lt;&gt;"",E15&lt;&gt;""),D15-E15,"")</f>
        <v/>
      </c>
      <c r="G15" s="31" t="inlineStr"/>
      <c r="H15" s="32">
        <f>IF(AND(D15&lt;&gt;"",G15&lt;&gt;""),D15-G15,"")</f>
        <v/>
      </c>
      <c r="I15" s="31" t="inlineStr"/>
      <c r="J15" s="32">
        <f>IF(AND(D15&lt;&gt;"",I15&lt;&gt;""),D15-I15,"")</f>
        <v/>
      </c>
      <c r="K15" s="33" t="inlineStr">
        <is>
          <t>Informacional</t>
        </is>
      </c>
      <c r="L15" s="33" t="inlineStr">
        <is>
          <t>🟢 Baja</t>
        </is>
      </c>
      <c r="M15" s="29" t="inlineStr"/>
    </row>
    <row r="16" ht="20" customHeight="1">
      <c r="A16" s="34" t="inlineStr">
        <is>
          <t>alguicida piscina</t>
        </is>
      </c>
      <c r="B16" s="34" t="inlineStr">
        <is>
          <t>/blog/alguicidas-piscina</t>
        </is>
      </c>
      <c r="C16" s="35" t="n">
        <v>1900</v>
      </c>
      <c r="D16" s="31" t="inlineStr"/>
      <c r="E16" s="31" t="inlineStr"/>
      <c r="F16" s="32">
        <f>IF(AND(D16&lt;&gt;"",E16&lt;&gt;""),D16-E16,"")</f>
        <v/>
      </c>
      <c r="G16" s="31" t="inlineStr"/>
      <c r="H16" s="32">
        <f>IF(AND(D16&lt;&gt;"",G16&lt;&gt;""),D16-G16,"")</f>
        <v/>
      </c>
      <c r="I16" s="31" t="inlineStr"/>
      <c r="J16" s="32">
        <f>IF(AND(D16&lt;&gt;"",I16&lt;&gt;""),D16-I16,"")</f>
        <v/>
      </c>
      <c r="K16" s="36" t="inlineStr">
        <is>
          <t>Informacional</t>
        </is>
      </c>
      <c r="L16" s="36" t="inlineStr">
        <is>
          <t>🟢 Baja</t>
        </is>
      </c>
      <c r="M16" s="34" t="inlineStr"/>
    </row>
    <row r="17" ht="14" customHeight="1"/>
    <row r="18" ht="24" customHeight="1">
      <c r="A18" s="37" t="inlineStr">
        <is>
          <t>ESTADÍSTICAS BASELINE</t>
        </is>
      </c>
    </row>
    <row r="19" ht="18" customHeight="1">
      <c r="A19" s="38" t="inlineStr">
        <is>
          <t>Keywords trackeadas</t>
        </is>
      </c>
      <c r="B19" s="39" t="inlineStr">
        <is>
          <t>12</t>
        </is>
      </c>
    </row>
    <row r="20" ht="18" customHeight="1">
      <c r="A20" s="38" t="inlineStr">
        <is>
          <t>Alta prioridad (vol ≥10K)</t>
        </is>
      </c>
      <c r="B20" s="39" t="inlineStr">
        <is>
          <t>2</t>
        </is>
      </c>
    </row>
    <row r="21" ht="18" customHeight="1">
      <c r="A21" s="38" t="inlineStr">
        <is>
          <t>Media prioridad (4K-10K)</t>
        </is>
      </c>
      <c r="B21" s="39" t="inlineStr">
        <is>
          <t>4</t>
        </is>
      </c>
    </row>
    <row r="22" ht="18" customHeight="1">
      <c r="A22" s="38" t="inlineStr">
        <is>
          <t>Baja prioridad (&lt;4K)</t>
        </is>
      </c>
      <c r="B22" s="39" t="inlineStr">
        <is>
          <t>6</t>
        </is>
      </c>
    </row>
    <row r="23" ht="18" customHeight="1">
      <c r="A23" s="38" t="inlineStr">
        <is>
          <t>Volumen total estimado</t>
        </is>
      </c>
      <c r="B23" s="39" t="inlineStr">
        <is>
          <t>77,800</t>
        </is>
      </c>
    </row>
  </sheetData>
  <mergeCells count="3">
    <mergeCell ref="A18:C18"/>
    <mergeCell ref="A2:M2"/>
    <mergeCell ref="A1:M1"/>
  </mergeCells>
  <conditionalFormatting sqref="F5:F16">
    <cfRule type="expression" priority="1" dxfId="0">
      <formula>AND(ISNUMBER(F5),F5&gt;0)</formula>
    </cfRule>
    <cfRule type="expression" priority="2" dxfId="1">
      <formula>AND(ISNUMBER(F5),F5&lt;0)</formula>
    </cfRule>
  </conditionalFormatting>
  <conditionalFormatting sqref="H5:H16">
    <cfRule type="expression" priority="3" dxfId="0">
      <formula>AND(ISNUMBER(H5),H5&gt;0)</formula>
    </cfRule>
    <cfRule type="expression" priority="4" dxfId="1">
      <formula>AND(ISNUMBER(H5),H5&lt;0)</formula>
    </cfRule>
  </conditionalFormatting>
  <conditionalFormatting sqref="J5:J16">
    <cfRule type="expression" priority="5" dxfId="0">
      <formula>AND(ISNUMBER(J5),J5&gt;0)</formula>
    </cfRule>
    <cfRule type="expression" priority="6" dxfId="1">
      <formula>AND(ISNUMBER(J5),J5&lt;0)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2" customWidth="1" min="4" max="4"/>
    <col width="11" customWidth="1" min="5" max="5"/>
    <col width="8" customWidth="1" min="6" max="6"/>
    <col width="11" customWidth="1" min="7" max="7"/>
    <col width="8" customWidth="1" min="8" max="8"/>
    <col width="11" customWidth="1" min="9" max="9"/>
    <col width="9" customWidth="1" min="10" max="10"/>
    <col width="12" customWidth="1" min="11" max="11"/>
    <col width="10" customWidth="1" min="12" max="12"/>
    <col width="28" customWidth="1" min="13" max="13"/>
  </cols>
  <sheetData>
    <row r="1" ht="35" customHeight="1">
      <c r="A1" s="40" t="inlineStr">
        <is>
          <t>TRACKER DE POSICIONAMIENTO — FITNESSFACIL.ES</t>
        </is>
      </c>
    </row>
    <row r="2" ht="20" customHeight="1">
      <c r="A2" s="41" t="inlineStr">
        <is>
          <t>Baseline: 15/08/2026 | Próxima revisión: +30 días | Fuente: Google Search Console</t>
        </is>
      </c>
    </row>
    <row r="3" ht="12" customHeight="1"/>
    <row r="4" ht="38" customHeight="1">
      <c r="A4" s="28" t="inlineStr">
        <is>
          <t>Keyword objetivo</t>
        </is>
      </c>
      <c r="B4" s="28" t="inlineStr">
        <is>
          <t>URL objetivo en el sitio</t>
        </is>
      </c>
      <c r="C4" s="28" t="inlineStr">
        <is>
          <t>Volumen búsq. (est.)</t>
        </is>
      </c>
      <c r="D4" s="28" t="inlineStr">
        <is>
          <t>Posición Actual
Baseline 15/08/2026</t>
        </is>
      </c>
      <c r="E4" s="28" t="inlineStr">
        <is>
          <t>Posición
30 días</t>
        </is>
      </c>
      <c r="F4" s="28" t="inlineStr">
        <is>
          <t>Δ 30d</t>
        </is>
      </c>
      <c r="G4" s="28" t="inlineStr">
        <is>
          <t>Posición
60 días</t>
        </is>
      </c>
      <c r="H4" s="28" t="inlineStr">
        <is>
          <t>Δ 60d</t>
        </is>
      </c>
      <c r="I4" s="28" t="inlineStr">
        <is>
          <t>Posición
90 días</t>
        </is>
      </c>
      <c r="J4" s="28" t="inlineStr">
        <is>
          <t>Δ 90d total</t>
        </is>
      </c>
      <c r="K4" s="28" t="inlineStr">
        <is>
          <t>Intención
búsqueda</t>
        </is>
      </c>
      <c r="L4" s="28" t="inlineStr">
        <is>
          <t>Prioridad</t>
        </is>
      </c>
      <c r="M4" s="28" t="inlineStr">
        <is>
          <t>Notas / acciones</t>
        </is>
      </c>
    </row>
    <row r="5" ht="20" customHeight="1">
      <c r="A5" s="42" t="inlineStr">
        <is>
          <t>mejor cinta de correr para casa</t>
        </is>
      </c>
      <c r="B5" s="42" t="inlineStr">
        <is>
          <t>/blog/mejor-cinta-correr-casa-2025</t>
        </is>
      </c>
      <c r="C5" s="43" t="n">
        <v>18000</v>
      </c>
      <c r="D5" s="31" t="inlineStr"/>
      <c r="E5" s="31" t="inlineStr"/>
      <c r="F5" s="32">
        <f>IF(AND(D5&lt;&gt;"",E5&lt;&gt;""),D5-E5,"")</f>
        <v/>
      </c>
      <c r="G5" s="31" t="inlineStr"/>
      <c r="H5" s="32">
        <f>IF(AND(D5&lt;&gt;"",G5&lt;&gt;""),D5-G5,"")</f>
        <v/>
      </c>
      <c r="I5" s="31" t="inlineStr"/>
      <c r="J5" s="32">
        <f>IF(AND(D5&lt;&gt;"",I5&lt;&gt;""),D5-I5,"")</f>
        <v/>
      </c>
      <c r="K5" s="44" t="inlineStr">
        <is>
          <t>Comercial</t>
        </is>
      </c>
      <c r="L5" s="44" t="inlineStr">
        <is>
          <t>🔴 Alta</t>
        </is>
      </c>
      <c r="M5" s="42" t="inlineStr"/>
    </row>
    <row r="6" ht="20" customHeight="1">
      <c r="A6" s="34" t="inlineStr">
        <is>
          <t>cinta de correr plegable</t>
        </is>
      </c>
      <c r="B6" s="34" t="inlineStr">
        <is>
          <t>/tienda/cintas-correr</t>
        </is>
      </c>
      <c r="C6" s="35" t="n">
        <v>12000</v>
      </c>
      <c r="D6" s="31" t="inlineStr"/>
      <c r="E6" s="31" t="inlineStr"/>
      <c r="F6" s="32">
        <f>IF(AND(D6&lt;&gt;"",E6&lt;&gt;""),D6-E6,"")</f>
        <v/>
      </c>
      <c r="G6" s="31" t="inlineStr"/>
      <c r="H6" s="32">
        <f>IF(AND(D6&lt;&gt;"",G6&lt;&gt;""),D6-G6,"")</f>
        <v/>
      </c>
      <c r="I6" s="31" t="inlineStr"/>
      <c r="J6" s="32">
        <f>IF(AND(D6&lt;&gt;"",I6&lt;&gt;""),D6-I6,"")</f>
        <v/>
      </c>
      <c r="K6" s="36" t="inlineStr">
        <is>
          <t>Informacional</t>
        </is>
      </c>
      <c r="L6" s="36" t="inlineStr">
        <is>
          <t>🔴 Alta</t>
        </is>
      </c>
      <c r="M6" s="34" t="inlineStr"/>
    </row>
    <row r="7" ht="20" customHeight="1">
      <c r="A7" s="42" t="inlineStr">
        <is>
          <t>walkingpad r2 opiniones</t>
        </is>
      </c>
      <c r="B7" s="42" t="inlineStr">
        <is>
          <t>/blog/walkingpad-r2-vs-r1-pro</t>
        </is>
      </c>
      <c r="C7" s="43" t="n">
        <v>2400</v>
      </c>
      <c r="D7" s="31" t="inlineStr"/>
      <c r="E7" s="31" t="inlineStr"/>
      <c r="F7" s="32">
        <f>IF(AND(D7&lt;&gt;"",E7&lt;&gt;""),D7-E7,"")</f>
        <v/>
      </c>
      <c r="G7" s="31" t="inlineStr"/>
      <c r="H7" s="32">
        <f>IF(AND(D7&lt;&gt;"",G7&lt;&gt;""),D7-G7,"")</f>
        <v/>
      </c>
      <c r="I7" s="31" t="inlineStr"/>
      <c r="J7" s="32">
        <f>IF(AND(D7&lt;&gt;"",I7&lt;&gt;""),D7-I7,"")</f>
        <v/>
      </c>
      <c r="K7" s="44" t="inlineStr">
        <is>
          <t>Comercial</t>
        </is>
      </c>
      <c r="L7" s="44" t="inlineStr">
        <is>
          <t>🟢 Baja</t>
        </is>
      </c>
      <c r="M7" s="42" t="inlineStr"/>
    </row>
    <row r="8" ht="20" customHeight="1">
      <c r="A8" s="34" t="inlineStr">
        <is>
          <t>bicicleta estatica para casa</t>
        </is>
      </c>
      <c r="B8" s="34" t="inlineStr">
        <is>
          <t>/tienda/bicicletas-estaticas</t>
        </is>
      </c>
      <c r="C8" s="35" t="n">
        <v>14500</v>
      </c>
      <c r="D8" s="31" t="inlineStr"/>
      <c r="E8" s="31" t="inlineStr"/>
      <c r="F8" s="32">
        <f>IF(AND(D8&lt;&gt;"",E8&lt;&gt;""),D8-E8,"")</f>
        <v/>
      </c>
      <c r="G8" s="31" t="inlineStr"/>
      <c r="H8" s="32">
        <f>IF(AND(D8&lt;&gt;"",G8&lt;&gt;""),D8-G8,"")</f>
        <v/>
      </c>
      <c r="I8" s="31" t="inlineStr"/>
      <c r="J8" s="32">
        <f>IF(AND(D8&lt;&gt;"",I8&lt;&gt;""),D8-I8,"")</f>
        <v/>
      </c>
      <c r="K8" s="36" t="inlineStr">
        <is>
          <t>Informacional</t>
        </is>
      </c>
      <c r="L8" s="36" t="inlineStr">
        <is>
          <t>🔴 Alta</t>
        </is>
      </c>
      <c r="M8" s="34" t="inlineStr"/>
    </row>
    <row r="9" ht="20" customHeight="1">
      <c r="A9" s="42" t="inlineStr">
        <is>
          <t>mejor bicicleta estatica casa</t>
        </is>
      </c>
      <c r="B9" s="42" t="inlineStr">
        <is>
          <t>/blog/mejor-bicicleta-estatica-2025</t>
        </is>
      </c>
      <c r="C9" s="43" t="n">
        <v>8900</v>
      </c>
      <c r="D9" s="31" t="inlineStr"/>
      <c r="E9" s="31" t="inlineStr"/>
      <c r="F9" s="32">
        <f>IF(AND(D9&lt;&gt;"",E9&lt;&gt;""),D9-E9,"")</f>
        <v/>
      </c>
      <c r="G9" s="31" t="inlineStr"/>
      <c r="H9" s="32">
        <f>IF(AND(D9&lt;&gt;"",G9&lt;&gt;""),D9-G9,"")</f>
        <v/>
      </c>
      <c r="I9" s="31" t="inlineStr"/>
      <c r="J9" s="32">
        <f>IF(AND(D9&lt;&gt;"",I9&lt;&gt;""),D9-I9,"")</f>
        <v/>
      </c>
      <c r="K9" s="44" t="inlineStr">
        <is>
          <t>Comercial</t>
        </is>
      </c>
      <c r="L9" s="44" t="inlineStr">
        <is>
          <t>🟡 Media</t>
        </is>
      </c>
      <c r="M9" s="42" t="inlineStr"/>
    </row>
    <row r="10" ht="20" customHeight="1">
      <c r="A10" s="34" t="inlineStr">
        <is>
          <t>mancuernas ajustables</t>
        </is>
      </c>
      <c r="B10" s="34" t="inlineStr">
        <is>
          <t>/tienda/pesas-mancuernas</t>
        </is>
      </c>
      <c r="C10" s="35" t="n">
        <v>9200</v>
      </c>
      <c r="D10" s="31" t="inlineStr"/>
      <c r="E10" s="31" t="inlineStr"/>
      <c r="F10" s="32">
        <f>IF(AND(D10&lt;&gt;"",E10&lt;&gt;""),D10-E10,"")</f>
        <v/>
      </c>
      <c r="G10" s="31" t="inlineStr"/>
      <c r="H10" s="32">
        <f>IF(AND(D10&lt;&gt;"",G10&lt;&gt;""),D10-G10,"")</f>
        <v/>
      </c>
      <c r="I10" s="31" t="inlineStr"/>
      <c r="J10" s="32">
        <f>IF(AND(D10&lt;&gt;"",I10&lt;&gt;""),D10-I10,"")</f>
        <v/>
      </c>
      <c r="K10" s="36" t="inlineStr">
        <is>
          <t>Informacional</t>
        </is>
      </c>
      <c r="L10" s="36" t="inlineStr">
        <is>
          <t>🟡 Media</t>
        </is>
      </c>
      <c r="M10" s="34" t="inlineStr"/>
    </row>
    <row r="11" ht="20" customHeight="1">
      <c r="A11" s="42" t="inlineStr">
        <is>
          <t>bandas de resistencia</t>
        </is>
      </c>
      <c r="B11" s="42" t="inlineStr">
        <is>
          <t>/tienda/bandas-resistencia</t>
        </is>
      </c>
      <c r="C11" s="43" t="n">
        <v>6600</v>
      </c>
      <c r="D11" s="31" t="inlineStr"/>
      <c r="E11" s="31" t="inlineStr"/>
      <c r="F11" s="32">
        <f>IF(AND(D11&lt;&gt;"",E11&lt;&gt;""),D11-E11,"")</f>
        <v/>
      </c>
      <c r="G11" s="31" t="inlineStr"/>
      <c r="H11" s="32">
        <f>IF(AND(D11&lt;&gt;"",G11&lt;&gt;""),D11-G11,"")</f>
        <v/>
      </c>
      <c r="I11" s="31" t="inlineStr"/>
      <c r="J11" s="32">
        <f>IF(AND(D11&lt;&gt;"",I11&lt;&gt;""),D11-I11,"")</f>
        <v/>
      </c>
      <c r="K11" s="44" t="inlineStr">
        <is>
          <t>Informacional</t>
        </is>
      </c>
      <c r="L11" s="44" t="inlineStr">
        <is>
          <t>🟡 Media</t>
        </is>
      </c>
      <c r="M11" s="42" t="inlineStr"/>
    </row>
    <row r="12" ht="20" customHeight="1">
      <c r="A12" s="34" t="inlineStr">
        <is>
          <t>theraband comprar</t>
        </is>
      </c>
      <c r="B12" s="34" t="inlineStr">
        <is>
          <t>/tienda/bandas-resistencia</t>
        </is>
      </c>
      <c r="C12" s="35" t="n">
        <v>1800</v>
      </c>
      <c r="D12" s="31" t="inlineStr"/>
      <c r="E12" s="31" t="inlineStr"/>
      <c r="F12" s="32">
        <f>IF(AND(D12&lt;&gt;"",E12&lt;&gt;""),D12-E12,"")</f>
        <v/>
      </c>
      <c r="G12" s="31" t="inlineStr"/>
      <c r="H12" s="32">
        <f>IF(AND(D12&lt;&gt;"",G12&lt;&gt;""),D12-G12,"")</f>
        <v/>
      </c>
      <c r="I12" s="31" t="inlineStr"/>
      <c r="J12" s="32">
        <f>IF(AND(D12&lt;&gt;"",I12&lt;&gt;""),D12-I12,"")</f>
        <v/>
      </c>
      <c r="K12" s="36" t="inlineStr">
        <is>
          <t>Transaccional</t>
        </is>
      </c>
      <c r="L12" s="36" t="inlineStr">
        <is>
          <t>🟢 Baja</t>
        </is>
      </c>
      <c r="M12" s="34" t="inlineStr"/>
    </row>
    <row r="13" ht="20" customHeight="1">
      <c r="A13" s="42" t="inlineStr">
        <is>
          <t>proteina whey principiantes</t>
        </is>
      </c>
      <c r="B13" s="42" t="inlineStr">
        <is>
          <t>/blog/proteinas-whey-guia-completa-2024</t>
        </is>
      </c>
      <c r="C13" s="43" t="n">
        <v>4400</v>
      </c>
      <c r="D13" s="31" t="inlineStr"/>
      <c r="E13" s="31" t="inlineStr"/>
      <c r="F13" s="32">
        <f>IF(AND(D13&lt;&gt;"",E13&lt;&gt;""),D13-E13,"")</f>
        <v/>
      </c>
      <c r="G13" s="31" t="inlineStr"/>
      <c r="H13" s="32">
        <f>IF(AND(D13&lt;&gt;"",G13&lt;&gt;""),D13-G13,"")</f>
        <v/>
      </c>
      <c r="I13" s="31" t="inlineStr"/>
      <c r="J13" s="32">
        <f>IF(AND(D13&lt;&gt;"",I13&lt;&gt;""),D13-I13,"")</f>
        <v/>
      </c>
      <c r="K13" s="44" t="inlineStr">
        <is>
          <t>Informacional</t>
        </is>
      </c>
      <c r="L13" s="44" t="inlineStr">
        <is>
          <t>🟡 Media</t>
        </is>
      </c>
      <c r="M13" s="42" t="inlineStr"/>
    </row>
    <row r="14" ht="20" customHeight="1">
      <c r="A14" s="34" t="inlineStr">
        <is>
          <t>creatina para que sirve</t>
        </is>
      </c>
      <c r="B14" s="34" t="inlineStr">
        <is>
          <t>/blog/creatina-guia-completa-2025</t>
        </is>
      </c>
      <c r="C14" s="35" t="n">
        <v>12000</v>
      </c>
      <c r="D14" s="31" t="inlineStr"/>
      <c r="E14" s="31" t="inlineStr"/>
      <c r="F14" s="32">
        <f>IF(AND(D14&lt;&gt;"",E14&lt;&gt;""),D14-E14,"")</f>
        <v/>
      </c>
      <c r="G14" s="31" t="inlineStr"/>
      <c r="H14" s="32">
        <f>IF(AND(D14&lt;&gt;"",G14&lt;&gt;""),D14-G14,"")</f>
        <v/>
      </c>
      <c r="I14" s="31" t="inlineStr"/>
      <c r="J14" s="32">
        <f>IF(AND(D14&lt;&gt;"",I14&lt;&gt;""),D14-I14,"")</f>
        <v/>
      </c>
      <c r="K14" s="36" t="inlineStr">
        <is>
          <t>Informacional</t>
        </is>
      </c>
      <c r="L14" s="36" t="inlineStr">
        <is>
          <t>🔴 Alta</t>
        </is>
      </c>
      <c r="M14" s="34" t="inlineStr"/>
    </row>
    <row r="15" ht="20" customHeight="1">
      <c r="A15" s="42" t="inlineStr">
        <is>
          <t>rutina entrenamiento casa</t>
        </is>
      </c>
      <c r="B15" s="42" t="inlineStr">
        <is>
          <t>/blog/rutina-entrenamiento-casa-sin-equipamiento</t>
        </is>
      </c>
      <c r="C15" s="43" t="n">
        <v>9800</v>
      </c>
      <c r="D15" s="31" t="inlineStr"/>
      <c r="E15" s="31" t="inlineStr"/>
      <c r="F15" s="32">
        <f>IF(AND(D15&lt;&gt;"",E15&lt;&gt;""),D15-E15,"")</f>
        <v/>
      </c>
      <c r="G15" s="31" t="inlineStr"/>
      <c r="H15" s="32">
        <f>IF(AND(D15&lt;&gt;"",G15&lt;&gt;""),D15-G15,"")</f>
        <v/>
      </c>
      <c r="I15" s="31" t="inlineStr"/>
      <c r="J15" s="32">
        <f>IF(AND(D15&lt;&gt;"",I15&lt;&gt;""),D15-I15,"")</f>
        <v/>
      </c>
      <c r="K15" s="44" t="inlineStr">
        <is>
          <t>Informacional</t>
        </is>
      </c>
      <c r="L15" s="44" t="inlineStr">
        <is>
          <t>🟡 Media</t>
        </is>
      </c>
      <c r="M15" s="42" t="inlineStr"/>
    </row>
    <row r="16" ht="20" customHeight="1">
      <c r="A16" s="34" t="inlineStr">
        <is>
          <t>ejercicios hiit en casa</t>
        </is>
      </c>
      <c r="B16" s="34" t="inlineStr">
        <is>
          <t>/blog/hiit-en-casa-principiantes</t>
        </is>
      </c>
      <c r="C16" s="35" t="n">
        <v>7200</v>
      </c>
      <c r="D16" s="31" t="inlineStr"/>
      <c r="E16" s="31" t="inlineStr"/>
      <c r="F16" s="32">
        <f>IF(AND(D16&lt;&gt;"",E16&lt;&gt;""),D16-E16,"")</f>
        <v/>
      </c>
      <c r="G16" s="31" t="inlineStr"/>
      <c r="H16" s="32">
        <f>IF(AND(D16&lt;&gt;"",G16&lt;&gt;""),D16-G16,"")</f>
        <v/>
      </c>
      <c r="I16" s="31" t="inlineStr"/>
      <c r="J16" s="32">
        <f>IF(AND(D16&lt;&gt;"",I16&lt;&gt;""),D16-I16,"")</f>
        <v/>
      </c>
      <c r="K16" s="36" t="inlineStr">
        <is>
          <t>Informacional</t>
        </is>
      </c>
      <c r="L16" s="36" t="inlineStr">
        <is>
          <t>🟡 Media</t>
        </is>
      </c>
      <c r="M16" s="34" t="inlineStr"/>
    </row>
    <row r="17" ht="20" customHeight="1">
      <c r="A17" s="42" t="inlineStr">
        <is>
          <t>esterilla yoga antideslizante</t>
        </is>
      </c>
      <c r="B17" s="42" t="inlineStr">
        <is>
          <t>/tienda/esterillas-yoga</t>
        </is>
      </c>
      <c r="C17" s="43" t="n">
        <v>5500</v>
      </c>
      <c r="D17" s="31" t="inlineStr"/>
      <c r="E17" s="31" t="inlineStr"/>
      <c r="F17" s="32">
        <f>IF(AND(D17&lt;&gt;"",E17&lt;&gt;""),D17-E17,"")</f>
        <v/>
      </c>
      <c r="G17" s="31" t="inlineStr"/>
      <c r="H17" s="32">
        <f>IF(AND(D17&lt;&gt;"",G17&lt;&gt;""),D17-G17,"")</f>
        <v/>
      </c>
      <c r="I17" s="31" t="inlineStr"/>
      <c r="J17" s="32">
        <f>IF(AND(D17&lt;&gt;"",I17&lt;&gt;""),D17-I17,"")</f>
        <v/>
      </c>
      <c r="K17" s="44" t="inlineStr">
        <is>
          <t>Informacional</t>
        </is>
      </c>
      <c r="L17" s="44" t="inlineStr">
        <is>
          <t>🟡 Media</t>
        </is>
      </c>
      <c r="M17" s="42" t="inlineStr"/>
    </row>
    <row r="18" ht="20" customHeight="1">
      <c r="A18" s="34" t="inlineStr">
        <is>
          <t>eliptica para casa</t>
        </is>
      </c>
      <c r="B18" s="34" t="inlineStr">
        <is>
          <t>/blog/mejores-elipticas-casa-2025</t>
        </is>
      </c>
      <c r="C18" s="35" t="n">
        <v>4100</v>
      </c>
      <c r="D18" s="31" t="inlineStr"/>
      <c r="E18" s="31" t="inlineStr"/>
      <c r="F18" s="32">
        <f>IF(AND(D18&lt;&gt;"",E18&lt;&gt;""),D18-E18,"")</f>
        <v/>
      </c>
      <c r="G18" s="31" t="inlineStr"/>
      <c r="H18" s="32">
        <f>IF(AND(D18&lt;&gt;"",G18&lt;&gt;""),D18-G18,"")</f>
        <v/>
      </c>
      <c r="I18" s="31" t="inlineStr"/>
      <c r="J18" s="32">
        <f>IF(AND(D18&lt;&gt;"",I18&lt;&gt;""),D18-I18,"")</f>
        <v/>
      </c>
      <c r="K18" s="36" t="inlineStr">
        <is>
          <t>Informacional</t>
        </is>
      </c>
      <c r="L18" s="36" t="inlineStr">
        <is>
          <t>🟡 Media</t>
        </is>
      </c>
      <c r="M18" s="34" t="inlineStr"/>
    </row>
    <row r="19" ht="14" customHeight="1"/>
    <row r="20" ht="24" customHeight="1">
      <c r="A20" s="45" t="inlineStr">
        <is>
          <t>ESTADÍSTICAS BASELINE</t>
        </is>
      </c>
    </row>
    <row r="21" ht="18" customHeight="1">
      <c r="A21" s="46" t="inlineStr">
        <is>
          <t>Keywords trackeadas</t>
        </is>
      </c>
      <c r="B21" s="47" t="inlineStr">
        <is>
          <t>14</t>
        </is>
      </c>
    </row>
    <row r="22" ht="18" customHeight="1">
      <c r="A22" s="46" t="inlineStr">
        <is>
          <t>Alta prioridad (vol ≥10K)</t>
        </is>
      </c>
      <c r="B22" s="47" t="inlineStr">
        <is>
          <t>4</t>
        </is>
      </c>
    </row>
    <row r="23" ht="18" customHeight="1">
      <c r="A23" s="46" t="inlineStr">
        <is>
          <t>Media prioridad (4K-10K)</t>
        </is>
      </c>
      <c r="B23" s="47" t="inlineStr">
        <is>
          <t>8</t>
        </is>
      </c>
    </row>
    <row r="24" ht="18" customHeight="1">
      <c r="A24" s="46" t="inlineStr">
        <is>
          <t>Baja prioridad (&lt;4K)</t>
        </is>
      </c>
      <c r="B24" s="47" t="inlineStr">
        <is>
          <t>2</t>
        </is>
      </c>
    </row>
    <row r="25" ht="18" customHeight="1">
      <c r="A25" s="46" t="inlineStr">
        <is>
          <t>Volumen total estimado</t>
        </is>
      </c>
      <c r="B25" s="47" t="inlineStr">
        <is>
          <t>116,400</t>
        </is>
      </c>
    </row>
  </sheetData>
  <mergeCells count="3">
    <mergeCell ref="A20:C20"/>
    <mergeCell ref="A2:M2"/>
    <mergeCell ref="A1:M1"/>
  </mergeCells>
  <conditionalFormatting sqref="F5:F18">
    <cfRule type="expression" priority="1" dxfId="0">
      <formula>AND(ISNUMBER(F5),F5&gt;0)</formula>
    </cfRule>
    <cfRule type="expression" priority="2" dxfId="1">
      <formula>AND(ISNUMBER(F5),F5&lt;0)</formula>
    </cfRule>
  </conditionalFormatting>
  <conditionalFormatting sqref="H5:H18">
    <cfRule type="expression" priority="3" dxfId="0">
      <formula>AND(ISNUMBER(H5),H5&gt;0)</formula>
    </cfRule>
    <cfRule type="expression" priority="4" dxfId="1">
      <formula>AND(ISNUMBER(H5),H5&lt;0)</formula>
    </cfRule>
  </conditionalFormatting>
  <conditionalFormatting sqref="J5:J18">
    <cfRule type="expression" priority="5" dxfId="0">
      <formula>AND(ISNUMBER(J5),J5&gt;0)</formula>
    </cfRule>
    <cfRule type="expression" priority="6" dxfId="1">
      <formula>AND(ISNUMBER(J5),J5&lt;0)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2" customWidth="1" min="4" max="4"/>
    <col width="11" customWidth="1" min="5" max="5"/>
    <col width="8" customWidth="1" min="6" max="6"/>
    <col width="11" customWidth="1" min="7" max="7"/>
    <col width="8" customWidth="1" min="8" max="8"/>
    <col width="11" customWidth="1" min="9" max="9"/>
    <col width="9" customWidth="1" min="10" max="10"/>
    <col width="12" customWidth="1" min="11" max="11"/>
    <col width="10" customWidth="1" min="12" max="12"/>
    <col width="28" customWidth="1" min="13" max="13"/>
  </cols>
  <sheetData>
    <row r="1" ht="35" customHeight="1">
      <c r="A1" s="48" t="inlineStr">
        <is>
          <t>TRACKER DE POSICIONAMIENTO — CUIDATUMASCOTA.ES</t>
        </is>
      </c>
    </row>
    <row r="2" ht="20" customHeight="1">
      <c r="A2" s="49" t="inlineStr">
        <is>
          <t>Baseline: 15/08/2026 | Próxima revisión: +30 días | Fuente: Google Search Console</t>
        </is>
      </c>
    </row>
    <row r="3" ht="12" customHeight="1"/>
    <row r="4" ht="38" customHeight="1">
      <c r="A4" s="28" t="inlineStr">
        <is>
          <t>Keyword objetivo</t>
        </is>
      </c>
      <c r="B4" s="28" t="inlineStr">
        <is>
          <t>URL objetivo en el sitio</t>
        </is>
      </c>
      <c r="C4" s="28" t="inlineStr">
        <is>
          <t>Volumen búsq. (est.)</t>
        </is>
      </c>
      <c r="D4" s="28" t="inlineStr">
        <is>
          <t>Posición Actual
Baseline 15/08/2026</t>
        </is>
      </c>
      <c r="E4" s="28" t="inlineStr">
        <is>
          <t>Posición
30 días</t>
        </is>
      </c>
      <c r="F4" s="28" t="inlineStr">
        <is>
          <t>Δ 30d</t>
        </is>
      </c>
      <c r="G4" s="28" t="inlineStr">
        <is>
          <t>Posición
60 días</t>
        </is>
      </c>
      <c r="H4" s="28" t="inlineStr">
        <is>
          <t>Δ 60d</t>
        </is>
      </c>
      <c r="I4" s="28" t="inlineStr">
        <is>
          <t>Posición
90 días</t>
        </is>
      </c>
      <c r="J4" s="28" t="inlineStr">
        <is>
          <t>Δ 90d total</t>
        </is>
      </c>
      <c r="K4" s="28" t="inlineStr">
        <is>
          <t>Intención
búsqueda</t>
        </is>
      </c>
      <c r="L4" s="28" t="inlineStr">
        <is>
          <t>Prioridad</t>
        </is>
      </c>
      <c r="M4" s="28" t="inlineStr">
        <is>
          <t>Notas / acciones</t>
        </is>
      </c>
    </row>
    <row r="5" ht="20" customHeight="1">
      <c r="A5" s="50" t="inlineStr">
        <is>
          <t>mejor pienso para perros</t>
        </is>
      </c>
      <c r="B5" s="50" t="inlineStr">
        <is>
          <t>/tienda/alimentacion-perros</t>
        </is>
      </c>
      <c r="C5" s="51" t="n">
        <v>22000</v>
      </c>
      <c r="D5" s="31" t="inlineStr"/>
      <c r="E5" s="31" t="inlineStr"/>
      <c r="F5" s="32">
        <f>IF(AND(D5&lt;&gt;"",E5&lt;&gt;""),D5-E5,"")</f>
        <v/>
      </c>
      <c r="G5" s="31" t="inlineStr"/>
      <c r="H5" s="32">
        <f>IF(AND(D5&lt;&gt;"",G5&lt;&gt;""),D5-G5,"")</f>
        <v/>
      </c>
      <c r="I5" s="31" t="inlineStr"/>
      <c r="J5" s="32">
        <f>IF(AND(D5&lt;&gt;"",I5&lt;&gt;""),D5-I5,"")</f>
        <v/>
      </c>
      <c r="K5" s="52" t="inlineStr">
        <is>
          <t>Comercial</t>
        </is>
      </c>
      <c r="L5" s="52" t="inlineStr">
        <is>
          <t>🔴 Alta</t>
        </is>
      </c>
      <c r="M5" s="50" t="inlineStr"/>
    </row>
    <row r="6" ht="20" customHeight="1">
      <c r="A6" s="34" t="inlineStr">
        <is>
          <t>pienso sin cereales perros</t>
        </is>
      </c>
      <c r="B6" s="34" t="inlineStr">
        <is>
          <t>/blog/pienso-sin-cereales-perros</t>
        </is>
      </c>
      <c r="C6" s="35" t="n">
        <v>5400</v>
      </c>
      <c r="D6" s="31" t="inlineStr"/>
      <c r="E6" s="31" t="inlineStr"/>
      <c r="F6" s="32">
        <f>IF(AND(D6&lt;&gt;"",E6&lt;&gt;""),D6-E6,"")</f>
        <v/>
      </c>
      <c r="G6" s="31" t="inlineStr"/>
      <c r="H6" s="32">
        <f>IF(AND(D6&lt;&gt;"",G6&lt;&gt;""),D6-G6,"")</f>
        <v/>
      </c>
      <c r="I6" s="31" t="inlineStr"/>
      <c r="J6" s="32">
        <f>IF(AND(D6&lt;&gt;"",I6&lt;&gt;""),D6-I6,"")</f>
        <v/>
      </c>
      <c r="K6" s="36" t="inlineStr">
        <is>
          <t>Informacional</t>
        </is>
      </c>
      <c r="L6" s="36" t="inlineStr">
        <is>
          <t>🟡 Media</t>
        </is>
      </c>
      <c r="M6" s="34" t="inlineStr"/>
    </row>
    <row r="7" ht="20" customHeight="1">
      <c r="A7" s="50" t="inlineStr">
        <is>
          <t>royal canin medium adult</t>
        </is>
      </c>
      <c r="B7" s="50" t="inlineStr">
        <is>
          <t>/blog/royal-canin-medium-adult-analisis</t>
        </is>
      </c>
      <c r="C7" s="51" t="n">
        <v>3200</v>
      </c>
      <c r="D7" s="31" t="inlineStr"/>
      <c r="E7" s="31" t="inlineStr"/>
      <c r="F7" s="32">
        <f>IF(AND(D7&lt;&gt;"",E7&lt;&gt;""),D7-E7,"")</f>
        <v/>
      </c>
      <c r="G7" s="31" t="inlineStr"/>
      <c r="H7" s="32">
        <f>IF(AND(D7&lt;&gt;"",G7&lt;&gt;""),D7-G7,"")</f>
        <v/>
      </c>
      <c r="I7" s="31" t="inlineStr"/>
      <c r="J7" s="32">
        <f>IF(AND(D7&lt;&gt;"",I7&lt;&gt;""),D7-I7,"")</f>
        <v/>
      </c>
      <c r="K7" s="52" t="inlineStr">
        <is>
          <t>Informacional</t>
        </is>
      </c>
      <c r="L7" s="52" t="inlineStr">
        <is>
          <t>🟢 Baja</t>
        </is>
      </c>
      <c r="M7" s="50" t="inlineStr"/>
    </row>
    <row r="8" ht="20" customHeight="1">
      <c r="A8" s="34" t="inlineStr">
        <is>
          <t>mejor pienso para gatos adultos</t>
        </is>
      </c>
      <c r="B8" s="34" t="inlineStr">
        <is>
          <t>/tienda/alimentacion-gatos</t>
        </is>
      </c>
      <c r="C8" s="35" t="n">
        <v>9800</v>
      </c>
      <c r="D8" s="31" t="inlineStr"/>
      <c r="E8" s="31" t="inlineStr"/>
      <c r="F8" s="32">
        <f>IF(AND(D8&lt;&gt;"",E8&lt;&gt;""),D8-E8,"")</f>
        <v/>
      </c>
      <c r="G8" s="31" t="inlineStr"/>
      <c r="H8" s="32">
        <f>IF(AND(D8&lt;&gt;"",G8&lt;&gt;""),D8-G8,"")</f>
        <v/>
      </c>
      <c r="I8" s="31" t="inlineStr"/>
      <c r="J8" s="32">
        <f>IF(AND(D8&lt;&gt;"",I8&lt;&gt;""),D8-I8,"")</f>
        <v/>
      </c>
      <c r="K8" s="36" t="inlineStr">
        <is>
          <t>Comercial</t>
        </is>
      </c>
      <c r="L8" s="36" t="inlineStr">
        <is>
          <t>🟡 Media</t>
        </is>
      </c>
      <c r="M8" s="34" t="inlineStr"/>
    </row>
    <row r="9" ht="20" customHeight="1">
      <c r="A9" s="50" t="inlineStr">
        <is>
          <t>orijen gatos</t>
        </is>
      </c>
      <c r="B9" s="50" t="inlineStr">
        <is>
          <t>/blog/orijen-cat-kitten-analisis</t>
        </is>
      </c>
      <c r="C9" s="51" t="n">
        <v>1800</v>
      </c>
      <c r="D9" s="31" t="inlineStr"/>
      <c r="E9" s="31" t="inlineStr"/>
      <c r="F9" s="32">
        <f>IF(AND(D9&lt;&gt;"",E9&lt;&gt;""),D9-E9,"")</f>
        <v/>
      </c>
      <c r="G9" s="31" t="inlineStr"/>
      <c r="H9" s="32">
        <f>IF(AND(D9&lt;&gt;"",G9&lt;&gt;""),D9-G9,"")</f>
        <v/>
      </c>
      <c r="I9" s="31" t="inlineStr"/>
      <c r="J9" s="32">
        <f>IF(AND(D9&lt;&gt;"",I9&lt;&gt;""),D9-I9,"")</f>
        <v/>
      </c>
      <c r="K9" s="52" t="inlineStr">
        <is>
          <t>Informacional</t>
        </is>
      </c>
      <c r="L9" s="52" t="inlineStr">
        <is>
          <t>🟢 Baja</t>
        </is>
      </c>
      <c r="M9" s="50" t="inlineStr"/>
    </row>
    <row r="10" ht="20" customHeight="1">
      <c r="A10" s="34" t="inlineStr">
        <is>
          <t>antiparasitarios perros</t>
        </is>
      </c>
      <c r="B10" s="34" t="inlineStr">
        <is>
          <t>/blog/antiparasitarios-perros-guia</t>
        </is>
      </c>
      <c r="C10" s="35" t="n">
        <v>8900</v>
      </c>
      <c r="D10" s="31" t="inlineStr"/>
      <c r="E10" s="31" t="inlineStr"/>
      <c r="F10" s="32">
        <f>IF(AND(D10&lt;&gt;"",E10&lt;&gt;""),D10-E10,"")</f>
        <v/>
      </c>
      <c r="G10" s="31" t="inlineStr"/>
      <c r="H10" s="32">
        <f>IF(AND(D10&lt;&gt;"",G10&lt;&gt;""),D10-G10,"")</f>
        <v/>
      </c>
      <c r="I10" s="31" t="inlineStr"/>
      <c r="J10" s="32">
        <f>IF(AND(D10&lt;&gt;"",I10&lt;&gt;""),D10-I10,"")</f>
        <v/>
      </c>
      <c r="K10" s="36" t="inlineStr">
        <is>
          <t>Informacional</t>
        </is>
      </c>
      <c r="L10" s="36" t="inlineStr">
        <is>
          <t>🟡 Media</t>
        </is>
      </c>
      <c r="M10" s="34" t="inlineStr"/>
    </row>
    <row r="11" ht="20" customHeight="1">
      <c r="A11" s="50" t="inlineStr">
        <is>
          <t>pipetas antiparasitarias perros</t>
        </is>
      </c>
      <c r="B11" s="50" t="inlineStr">
        <is>
          <t>/tienda/salud-higiene</t>
        </is>
      </c>
      <c r="C11" s="51" t="n">
        <v>6100</v>
      </c>
      <c r="D11" s="31" t="inlineStr"/>
      <c r="E11" s="31" t="inlineStr"/>
      <c r="F11" s="32">
        <f>IF(AND(D11&lt;&gt;"",E11&lt;&gt;""),D11-E11,"")</f>
        <v/>
      </c>
      <c r="G11" s="31" t="inlineStr"/>
      <c r="H11" s="32">
        <f>IF(AND(D11&lt;&gt;"",G11&lt;&gt;""),D11-G11,"")</f>
        <v/>
      </c>
      <c r="I11" s="31" t="inlineStr"/>
      <c r="J11" s="32">
        <f>IF(AND(D11&lt;&gt;"",I11&lt;&gt;""),D11-I11,"")</f>
        <v/>
      </c>
      <c r="K11" s="52" t="inlineStr">
        <is>
          <t>Informacional</t>
        </is>
      </c>
      <c r="L11" s="52" t="inlineStr">
        <is>
          <t>🟡 Media</t>
        </is>
      </c>
      <c r="M11" s="50" t="inlineStr"/>
    </row>
    <row r="12" ht="20" customHeight="1">
      <c r="A12" s="34" t="inlineStr">
        <is>
          <t>juguetes estimulacion mental perros</t>
        </is>
      </c>
      <c r="B12" s="34" t="inlineStr">
        <is>
          <t>/tienda/juguetes-mascotas</t>
        </is>
      </c>
      <c r="C12" s="35" t="n">
        <v>2900</v>
      </c>
      <c r="D12" s="31" t="inlineStr"/>
      <c r="E12" s="31" t="inlineStr"/>
      <c r="F12" s="32">
        <f>IF(AND(D12&lt;&gt;"",E12&lt;&gt;""),D12-E12,"")</f>
        <v/>
      </c>
      <c r="G12" s="31" t="inlineStr"/>
      <c r="H12" s="32">
        <f>IF(AND(D12&lt;&gt;"",G12&lt;&gt;""),D12-G12,"")</f>
        <v/>
      </c>
      <c r="I12" s="31" t="inlineStr"/>
      <c r="J12" s="32">
        <f>IF(AND(D12&lt;&gt;"",I12&lt;&gt;""),D12-I12,"")</f>
        <v/>
      </c>
      <c r="K12" s="36" t="inlineStr">
        <is>
          <t>Informacional</t>
        </is>
      </c>
      <c r="L12" s="36" t="inlineStr">
        <is>
          <t>🟢 Baja</t>
        </is>
      </c>
      <c r="M12" s="34" t="inlineStr"/>
    </row>
    <row r="13" ht="20" customHeight="1">
      <c r="A13" s="50" t="inlineStr">
        <is>
          <t>snuffle mat perros</t>
        </is>
      </c>
      <c r="B13" s="50" t="inlineStr">
        <is>
          <t>/tienda/juguetes-mascotas</t>
        </is>
      </c>
      <c r="C13" s="51" t="n">
        <v>1900</v>
      </c>
      <c r="D13" s="31" t="inlineStr"/>
      <c r="E13" s="31" t="inlineStr"/>
      <c r="F13" s="32">
        <f>IF(AND(D13&lt;&gt;"",E13&lt;&gt;""),D13-E13,"")</f>
        <v/>
      </c>
      <c r="G13" s="31" t="inlineStr"/>
      <c r="H13" s="32">
        <f>IF(AND(D13&lt;&gt;"",G13&lt;&gt;""),D13-G13,"")</f>
        <v/>
      </c>
      <c r="I13" s="31" t="inlineStr"/>
      <c r="J13" s="32">
        <f>IF(AND(D13&lt;&gt;"",I13&lt;&gt;""),D13-I13,"")</f>
        <v/>
      </c>
      <c r="K13" s="52" t="inlineStr">
        <is>
          <t>Informacional</t>
        </is>
      </c>
      <c r="L13" s="52" t="inlineStr">
        <is>
          <t>🟢 Baja</t>
        </is>
      </c>
      <c r="M13" s="50" t="inlineStr"/>
    </row>
    <row r="14" ht="20" customHeight="1">
      <c r="A14" s="34" t="inlineStr">
        <is>
          <t>cama ortopedica perro grande</t>
        </is>
      </c>
      <c r="B14" s="34" t="inlineStr">
        <is>
          <t>/tienda/camas-transportines</t>
        </is>
      </c>
      <c r="C14" s="35" t="n">
        <v>3400</v>
      </c>
      <c r="D14" s="31" t="inlineStr"/>
      <c r="E14" s="31" t="inlineStr"/>
      <c r="F14" s="32">
        <f>IF(AND(D14&lt;&gt;"",E14&lt;&gt;""),D14-E14,"")</f>
        <v/>
      </c>
      <c r="G14" s="31" t="inlineStr"/>
      <c r="H14" s="32">
        <f>IF(AND(D14&lt;&gt;"",G14&lt;&gt;""),D14-G14,"")</f>
        <v/>
      </c>
      <c r="I14" s="31" t="inlineStr"/>
      <c r="J14" s="32">
        <f>IF(AND(D14&lt;&gt;"",I14&lt;&gt;""),D14-I14,"")</f>
        <v/>
      </c>
      <c r="K14" s="36" t="inlineStr">
        <is>
          <t>Informacional</t>
        </is>
      </c>
      <c r="L14" s="36" t="inlineStr">
        <is>
          <t>🟢 Baja</t>
        </is>
      </c>
      <c r="M14" s="34" t="inlineStr"/>
    </row>
    <row r="15" ht="20" customHeight="1">
      <c r="A15" s="50" t="inlineStr">
        <is>
          <t>transportin para perros avion</t>
        </is>
      </c>
      <c r="B15" s="50" t="inlineStr">
        <is>
          <t>/blog/transportin-perros-avion</t>
        </is>
      </c>
      <c r="C15" s="51" t="n">
        <v>4800</v>
      </c>
      <c r="D15" s="31" t="inlineStr"/>
      <c r="E15" s="31" t="inlineStr"/>
      <c r="F15" s="32">
        <f>IF(AND(D15&lt;&gt;"",E15&lt;&gt;""),D15-E15,"")</f>
        <v/>
      </c>
      <c r="G15" s="31" t="inlineStr"/>
      <c r="H15" s="32">
        <f>IF(AND(D15&lt;&gt;"",G15&lt;&gt;""),D15-G15,"")</f>
        <v/>
      </c>
      <c r="I15" s="31" t="inlineStr"/>
      <c r="J15" s="32">
        <f>IF(AND(D15&lt;&gt;"",I15&lt;&gt;""),D15-I15,"")</f>
        <v/>
      </c>
      <c r="K15" s="52" t="inlineStr">
        <is>
          <t>Informacional</t>
        </is>
      </c>
      <c r="L15" s="52" t="inlineStr">
        <is>
          <t>🟡 Media</t>
        </is>
      </c>
      <c r="M15" s="50" t="inlineStr"/>
    </row>
    <row r="16" ht="20" customHeight="1">
      <c r="A16" s="34" t="inlineStr">
        <is>
          <t>alimentacion barf perros</t>
        </is>
      </c>
      <c r="B16" s="34" t="inlineStr">
        <is>
          <t>/blog/dieta-barf-perros-guia-completa</t>
        </is>
      </c>
      <c r="C16" s="35" t="n">
        <v>7200</v>
      </c>
      <c r="D16" s="31" t="inlineStr"/>
      <c r="E16" s="31" t="inlineStr"/>
      <c r="F16" s="32">
        <f>IF(AND(D16&lt;&gt;"",E16&lt;&gt;""),D16-E16,"")</f>
        <v/>
      </c>
      <c r="G16" s="31" t="inlineStr"/>
      <c r="H16" s="32">
        <f>IF(AND(D16&lt;&gt;"",G16&lt;&gt;""),D16-G16,"")</f>
        <v/>
      </c>
      <c r="I16" s="31" t="inlineStr"/>
      <c r="J16" s="32">
        <f>IF(AND(D16&lt;&gt;"",I16&lt;&gt;""),D16-I16,"")</f>
        <v/>
      </c>
      <c r="K16" s="36" t="inlineStr">
        <is>
          <t>Informacional</t>
        </is>
      </c>
      <c r="L16" s="36" t="inlineStr">
        <is>
          <t>🟡 Media</t>
        </is>
      </c>
      <c r="M16" s="34" t="inlineStr"/>
    </row>
    <row r="17" ht="20" customHeight="1">
      <c r="A17" s="50" t="inlineStr">
        <is>
          <t>higiene dental perros</t>
        </is>
      </c>
      <c r="B17" s="50" t="inlineStr">
        <is>
          <t>/blog/higiene-dental-mascotas</t>
        </is>
      </c>
      <c r="C17" s="51" t="n">
        <v>3100</v>
      </c>
      <c r="D17" s="31" t="inlineStr"/>
      <c r="E17" s="31" t="inlineStr"/>
      <c r="F17" s="32">
        <f>IF(AND(D17&lt;&gt;"",E17&lt;&gt;""),D17-E17,"")</f>
        <v/>
      </c>
      <c r="G17" s="31" t="inlineStr"/>
      <c r="H17" s="32">
        <f>IF(AND(D17&lt;&gt;"",G17&lt;&gt;""),D17-G17,"")</f>
        <v/>
      </c>
      <c r="I17" s="31" t="inlineStr"/>
      <c r="J17" s="32">
        <f>IF(AND(D17&lt;&gt;"",I17&lt;&gt;""),D17-I17,"")</f>
        <v/>
      </c>
      <c r="K17" s="52" t="inlineStr">
        <is>
          <t>Informacional</t>
        </is>
      </c>
      <c r="L17" s="52" t="inlineStr">
        <is>
          <t>🟢 Baja</t>
        </is>
      </c>
      <c r="M17" s="50" t="inlineStr"/>
    </row>
    <row r="18" ht="14" customHeight="1"/>
    <row r="19" ht="24" customHeight="1">
      <c r="A19" s="53" t="inlineStr">
        <is>
          <t>ESTADÍSTICAS BASELINE</t>
        </is>
      </c>
    </row>
    <row r="20" ht="18" customHeight="1">
      <c r="A20" s="54" t="inlineStr">
        <is>
          <t>Keywords trackeadas</t>
        </is>
      </c>
      <c r="B20" s="55" t="inlineStr">
        <is>
          <t>13</t>
        </is>
      </c>
    </row>
    <row r="21" ht="18" customHeight="1">
      <c r="A21" s="54" t="inlineStr">
        <is>
          <t>Alta prioridad (vol ≥10K)</t>
        </is>
      </c>
      <c r="B21" s="55" t="inlineStr">
        <is>
          <t>1</t>
        </is>
      </c>
    </row>
    <row r="22" ht="18" customHeight="1">
      <c r="A22" s="54" t="inlineStr">
        <is>
          <t>Media prioridad (4K-10K)</t>
        </is>
      </c>
      <c r="B22" s="55" t="inlineStr">
        <is>
          <t>6</t>
        </is>
      </c>
    </row>
    <row r="23" ht="18" customHeight="1">
      <c r="A23" s="54" t="inlineStr">
        <is>
          <t>Baja prioridad (&lt;4K)</t>
        </is>
      </c>
      <c r="B23" s="55" t="inlineStr">
        <is>
          <t>6</t>
        </is>
      </c>
    </row>
    <row r="24" ht="18" customHeight="1">
      <c r="A24" s="54" t="inlineStr">
        <is>
          <t>Volumen total estimado</t>
        </is>
      </c>
      <c r="B24" s="55" t="inlineStr">
        <is>
          <t>80,500</t>
        </is>
      </c>
    </row>
  </sheetData>
  <mergeCells count="3">
    <mergeCell ref="A2:M2"/>
    <mergeCell ref="A19:C19"/>
    <mergeCell ref="A1:M1"/>
  </mergeCells>
  <conditionalFormatting sqref="F5:F17">
    <cfRule type="expression" priority="1" dxfId="0">
      <formula>AND(ISNUMBER(F5),F5&gt;0)</formula>
    </cfRule>
    <cfRule type="expression" priority="2" dxfId="1">
      <formula>AND(ISNUMBER(F5),F5&lt;0)</formula>
    </cfRule>
  </conditionalFormatting>
  <conditionalFormatting sqref="H5:H17">
    <cfRule type="expression" priority="3" dxfId="0">
      <formula>AND(ISNUMBER(H5),H5&gt;0)</formula>
    </cfRule>
    <cfRule type="expression" priority="4" dxfId="1">
      <formula>AND(ISNUMBER(H5),H5&lt;0)</formula>
    </cfRule>
  </conditionalFormatting>
  <conditionalFormatting sqref="J5:J17">
    <cfRule type="expression" priority="5" dxfId="0">
      <formula>AND(ISNUMBER(J5),J5&gt;0)</formula>
    </cfRule>
    <cfRule type="expression" priority="6" dxfId="1">
      <formula>AND(ISNUMBER(J5),J5&lt;0)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2" customWidth="1" min="4" max="4"/>
    <col width="11" customWidth="1" min="5" max="5"/>
    <col width="8" customWidth="1" min="6" max="6"/>
    <col width="11" customWidth="1" min="7" max="7"/>
    <col width="8" customWidth="1" min="8" max="8"/>
    <col width="11" customWidth="1" min="9" max="9"/>
    <col width="9" customWidth="1" min="10" max="10"/>
    <col width="12" customWidth="1" min="11" max="11"/>
    <col width="10" customWidth="1" min="12" max="12"/>
    <col width="28" customWidth="1" min="13" max="13"/>
  </cols>
  <sheetData>
    <row r="1" ht="35" customHeight="1">
      <c r="A1" s="56" t="inlineStr">
        <is>
          <t>TRACKER DE POSICIONAMIENTO — EMPRENDEDIGITAL.ES</t>
        </is>
      </c>
    </row>
    <row r="2" ht="20" customHeight="1">
      <c r="A2" s="57" t="inlineStr">
        <is>
          <t>Baseline: 15/08/2026 | Próxima revisión: +30 días | Fuente: Google Search Console</t>
        </is>
      </c>
    </row>
    <row r="3" ht="12" customHeight="1"/>
    <row r="4" ht="38" customHeight="1">
      <c r="A4" s="28" t="inlineStr">
        <is>
          <t>Keyword objetivo</t>
        </is>
      </c>
      <c r="B4" s="28" t="inlineStr">
        <is>
          <t>URL objetivo en el sitio</t>
        </is>
      </c>
      <c r="C4" s="28" t="inlineStr">
        <is>
          <t>Volumen búsq. (est.)</t>
        </is>
      </c>
      <c r="D4" s="28" t="inlineStr">
        <is>
          <t>Posición Actual
Baseline 15/08/2026</t>
        </is>
      </c>
      <c r="E4" s="28" t="inlineStr">
        <is>
          <t>Posición
30 días</t>
        </is>
      </c>
      <c r="F4" s="28" t="inlineStr">
        <is>
          <t>Δ 30d</t>
        </is>
      </c>
      <c r="G4" s="28" t="inlineStr">
        <is>
          <t>Posición
60 días</t>
        </is>
      </c>
      <c r="H4" s="28" t="inlineStr">
        <is>
          <t>Δ 60d</t>
        </is>
      </c>
      <c r="I4" s="28" t="inlineStr">
        <is>
          <t>Posición
90 días</t>
        </is>
      </c>
      <c r="J4" s="28" t="inlineStr">
        <is>
          <t>Δ 90d total</t>
        </is>
      </c>
      <c r="K4" s="28" t="inlineStr">
        <is>
          <t>Intención
búsqueda</t>
        </is>
      </c>
      <c r="L4" s="28" t="inlineStr">
        <is>
          <t>Prioridad</t>
        </is>
      </c>
      <c r="M4" s="28" t="inlineStr">
        <is>
          <t>Notas / acciones</t>
        </is>
      </c>
    </row>
    <row r="5" ht="20" customHeight="1">
      <c r="A5" s="58" t="inlineStr">
        <is>
          <t>mejor silla ergonomica home office</t>
        </is>
      </c>
      <c r="B5" s="58" t="inlineStr">
        <is>
          <t>/tienda/sillas-ergonomicas</t>
        </is>
      </c>
      <c r="C5" s="59" t="n">
        <v>14000</v>
      </c>
      <c r="D5" s="31" t="inlineStr"/>
      <c r="E5" s="31" t="inlineStr"/>
      <c r="F5" s="32">
        <f>IF(AND(D5&lt;&gt;"",E5&lt;&gt;""),D5-E5,"")</f>
        <v/>
      </c>
      <c r="G5" s="31" t="inlineStr"/>
      <c r="H5" s="32">
        <f>IF(AND(D5&lt;&gt;"",G5&lt;&gt;""),D5-G5,"")</f>
        <v/>
      </c>
      <c r="I5" s="31" t="inlineStr"/>
      <c r="J5" s="32">
        <f>IF(AND(D5&lt;&gt;"",I5&lt;&gt;""),D5-I5,"")</f>
        <v/>
      </c>
      <c r="K5" s="60" t="inlineStr">
        <is>
          <t>Comercial</t>
        </is>
      </c>
      <c r="L5" s="60" t="inlineStr">
        <is>
          <t>🔴 Alta</t>
        </is>
      </c>
      <c r="M5" s="58" t="inlineStr"/>
    </row>
    <row r="6" ht="20" customHeight="1">
      <c r="A6" s="34" t="inlineStr">
        <is>
          <t>silla ergonomica oficina</t>
        </is>
      </c>
      <c r="B6" s="34" t="inlineStr">
        <is>
          <t>/blog/mejor-silla-ergonomica-home-office</t>
        </is>
      </c>
      <c r="C6" s="35" t="n">
        <v>22000</v>
      </c>
      <c r="D6" s="31" t="inlineStr"/>
      <c r="E6" s="31" t="inlineStr"/>
      <c r="F6" s="32">
        <f>IF(AND(D6&lt;&gt;"",E6&lt;&gt;""),D6-E6,"")</f>
        <v/>
      </c>
      <c r="G6" s="31" t="inlineStr"/>
      <c r="H6" s="32">
        <f>IF(AND(D6&lt;&gt;"",G6&lt;&gt;""),D6-G6,"")</f>
        <v/>
      </c>
      <c r="I6" s="31" t="inlineStr"/>
      <c r="J6" s="32">
        <f>IF(AND(D6&lt;&gt;"",I6&lt;&gt;""),D6-I6,"")</f>
        <v/>
      </c>
      <c r="K6" s="36" t="inlineStr">
        <is>
          <t>Informacional</t>
        </is>
      </c>
      <c r="L6" s="36" t="inlineStr">
        <is>
          <t>🔴 Alta</t>
        </is>
      </c>
      <c r="M6" s="34" t="inlineStr"/>
    </row>
    <row r="7" ht="20" customHeight="1">
      <c r="A7" s="58" t="inlineStr">
        <is>
          <t>sihoo m57 opiniones</t>
        </is>
      </c>
      <c r="B7" s="58" t="inlineStr">
        <is>
          <t>/blog/sihoo-m57-analisis-completo</t>
        </is>
      </c>
      <c r="C7" s="59" t="n">
        <v>2100</v>
      </c>
      <c r="D7" s="31" t="inlineStr"/>
      <c r="E7" s="31" t="inlineStr"/>
      <c r="F7" s="32">
        <f>IF(AND(D7&lt;&gt;"",E7&lt;&gt;""),D7-E7,"")</f>
        <v/>
      </c>
      <c r="G7" s="31" t="inlineStr"/>
      <c r="H7" s="32">
        <f>IF(AND(D7&lt;&gt;"",G7&lt;&gt;""),D7-G7,"")</f>
        <v/>
      </c>
      <c r="I7" s="31" t="inlineStr"/>
      <c r="J7" s="32">
        <f>IF(AND(D7&lt;&gt;"",I7&lt;&gt;""),D7-I7,"")</f>
        <v/>
      </c>
      <c r="K7" s="60" t="inlineStr">
        <is>
          <t>Comercial</t>
        </is>
      </c>
      <c r="L7" s="60" t="inlineStr">
        <is>
          <t>🟢 Baja</t>
        </is>
      </c>
      <c r="M7" s="58" t="inlineStr"/>
    </row>
    <row r="8" ht="20" customHeight="1">
      <c r="A8" s="34" t="inlineStr">
        <is>
          <t>escritorio regulable altura</t>
        </is>
      </c>
      <c r="B8" s="34" t="inlineStr">
        <is>
          <t>/tienda/escritorios</t>
        </is>
      </c>
      <c r="C8" s="35" t="n">
        <v>8800</v>
      </c>
      <c r="D8" s="31" t="inlineStr"/>
      <c r="E8" s="31" t="inlineStr"/>
      <c r="F8" s="32">
        <f>IF(AND(D8&lt;&gt;"",E8&lt;&gt;""),D8-E8,"")</f>
        <v/>
      </c>
      <c r="G8" s="31" t="inlineStr"/>
      <c r="H8" s="32">
        <f>IF(AND(D8&lt;&gt;"",G8&lt;&gt;""),D8-G8,"")</f>
        <v/>
      </c>
      <c r="I8" s="31" t="inlineStr"/>
      <c r="J8" s="32">
        <f>IF(AND(D8&lt;&gt;"",I8&lt;&gt;""),D8-I8,"")</f>
        <v/>
      </c>
      <c r="K8" s="36" t="inlineStr">
        <is>
          <t>Informacional</t>
        </is>
      </c>
      <c r="L8" s="36" t="inlineStr">
        <is>
          <t>🟡 Media</t>
        </is>
      </c>
      <c r="M8" s="34" t="inlineStr"/>
    </row>
    <row r="9" ht="20" customHeight="1">
      <c r="A9" s="58" t="inlineStr">
        <is>
          <t>flexispot e7 pro analisis</t>
        </is>
      </c>
      <c r="B9" s="58" t="inlineStr">
        <is>
          <t>/blog/flexispot-e7-pro-analisis</t>
        </is>
      </c>
      <c r="C9" s="59" t="n">
        <v>1800</v>
      </c>
      <c r="D9" s="31" t="inlineStr"/>
      <c r="E9" s="31" t="inlineStr"/>
      <c r="F9" s="32">
        <f>IF(AND(D9&lt;&gt;"",E9&lt;&gt;""),D9-E9,"")</f>
        <v/>
      </c>
      <c r="G9" s="31" t="inlineStr"/>
      <c r="H9" s="32">
        <f>IF(AND(D9&lt;&gt;"",G9&lt;&gt;""),D9-G9,"")</f>
        <v/>
      </c>
      <c r="I9" s="31" t="inlineStr"/>
      <c r="J9" s="32">
        <f>IF(AND(D9&lt;&gt;"",I9&lt;&gt;""),D9-I9,"")</f>
        <v/>
      </c>
      <c r="K9" s="60" t="inlineStr">
        <is>
          <t>Comercial</t>
        </is>
      </c>
      <c r="L9" s="60" t="inlineStr">
        <is>
          <t>🟢 Baja</t>
        </is>
      </c>
      <c r="M9" s="58" t="inlineStr"/>
    </row>
    <row r="10" ht="20" customHeight="1">
      <c r="A10" s="34" t="inlineStr">
        <is>
          <t>mejor teclado trabajo remoto</t>
        </is>
      </c>
      <c r="B10" s="34" t="inlineStr">
        <is>
          <t>/tienda/perifericos</t>
        </is>
      </c>
      <c r="C10" s="35" t="n">
        <v>5400</v>
      </c>
      <c r="D10" s="31" t="inlineStr"/>
      <c r="E10" s="31" t="inlineStr"/>
      <c r="F10" s="32">
        <f>IF(AND(D10&lt;&gt;"",E10&lt;&gt;""),D10-E10,"")</f>
        <v/>
      </c>
      <c r="G10" s="31" t="inlineStr"/>
      <c r="H10" s="32">
        <f>IF(AND(D10&lt;&gt;"",G10&lt;&gt;""),D10-G10,"")</f>
        <v/>
      </c>
      <c r="I10" s="31" t="inlineStr"/>
      <c r="J10" s="32">
        <f>IF(AND(D10&lt;&gt;"",I10&lt;&gt;""),D10-I10,"")</f>
        <v/>
      </c>
      <c r="K10" s="36" t="inlineStr">
        <is>
          <t>Comercial</t>
        </is>
      </c>
      <c r="L10" s="36" t="inlineStr">
        <is>
          <t>🟡 Media</t>
        </is>
      </c>
      <c r="M10" s="34" t="inlineStr"/>
    </row>
    <row r="11" ht="20" customHeight="1">
      <c r="A11" s="58" t="inlineStr">
        <is>
          <t>logitech mx keys opinion</t>
        </is>
      </c>
      <c r="B11" s="58" t="inlineStr">
        <is>
          <t>/blog/logitech-mx-keys-analisis</t>
        </is>
      </c>
      <c r="C11" s="59" t="n">
        <v>2900</v>
      </c>
      <c r="D11" s="31" t="inlineStr"/>
      <c r="E11" s="31" t="inlineStr"/>
      <c r="F11" s="32">
        <f>IF(AND(D11&lt;&gt;"",E11&lt;&gt;""),D11-E11,"")</f>
        <v/>
      </c>
      <c r="G11" s="31" t="inlineStr"/>
      <c r="H11" s="32">
        <f>IF(AND(D11&lt;&gt;"",G11&lt;&gt;""),D11-G11,"")</f>
        <v/>
      </c>
      <c r="I11" s="31" t="inlineStr"/>
      <c r="J11" s="32">
        <f>IF(AND(D11&lt;&gt;"",I11&lt;&gt;""),D11-I11,"")</f>
        <v/>
      </c>
      <c r="K11" s="60" t="inlineStr">
        <is>
          <t>Comercial</t>
        </is>
      </c>
      <c r="L11" s="60" t="inlineStr">
        <is>
          <t>🟢 Baja</t>
        </is>
      </c>
      <c r="M11" s="58" t="inlineStr"/>
    </row>
    <row r="12" ht="20" customHeight="1">
      <c r="A12" s="34" t="inlineStr">
        <is>
          <t>monitor para home office</t>
        </is>
      </c>
      <c r="B12" s="34" t="inlineStr">
        <is>
          <t>/tienda/monitores</t>
        </is>
      </c>
      <c r="C12" s="35" t="n">
        <v>9200</v>
      </c>
      <c r="D12" s="31" t="inlineStr"/>
      <c r="E12" s="31" t="inlineStr"/>
      <c r="F12" s="32">
        <f>IF(AND(D12&lt;&gt;"",E12&lt;&gt;""),D12-E12,"")</f>
        <v/>
      </c>
      <c r="G12" s="31" t="inlineStr"/>
      <c r="H12" s="32">
        <f>IF(AND(D12&lt;&gt;"",G12&lt;&gt;""),D12-G12,"")</f>
        <v/>
      </c>
      <c r="I12" s="31" t="inlineStr"/>
      <c r="J12" s="32">
        <f>IF(AND(D12&lt;&gt;"",I12&lt;&gt;""),D12-I12,"")</f>
        <v/>
      </c>
      <c r="K12" s="36" t="inlineStr">
        <is>
          <t>Informacional</t>
        </is>
      </c>
      <c r="L12" s="36" t="inlineStr">
        <is>
          <t>🟡 Media</t>
        </is>
      </c>
      <c r="M12" s="34" t="inlineStr"/>
    </row>
    <row r="13" ht="20" customHeight="1">
      <c r="A13" s="58" t="inlineStr">
        <is>
          <t>hub usb c teletrabajo</t>
        </is>
      </c>
      <c r="B13" s="58" t="inlineStr">
        <is>
          <t>/tienda/hubs-docking</t>
        </is>
      </c>
      <c r="C13" s="59" t="n">
        <v>4100</v>
      </c>
      <c r="D13" s="31" t="inlineStr"/>
      <c r="E13" s="31" t="inlineStr"/>
      <c r="F13" s="32">
        <f>IF(AND(D13&lt;&gt;"",E13&lt;&gt;""),D13-E13,"")</f>
        <v/>
      </c>
      <c r="G13" s="31" t="inlineStr"/>
      <c r="H13" s="32">
        <f>IF(AND(D13&lt;&gt;"",G13&lt;&gt;""),D13-G13,"")</f>
        <v/>
      </c>
      <c r="I13" s="31" t="inlineStr"/>
      <c r="J13" s="32">
        <f>IF(AND(D13&lt;&gt;"",I13&lt;&gt;""),D13-I13,"")</f>
        <v/>
      </c>
      <c r="K13" s="60" t="inlineStr">
        <is>
          <t>Informacional</t>
        </is>
      </c>
      <c r="L13" s="60" t="inlineStr">
        <is>
          <t>🟡 Media</t>
        </is>
      </c>
      <c r="M13" s="58" t="inlineStr"/>
    </row>
    <row r="14" ht="20" customHeight="1">
      <c r="A14" s="34" t="inlineStr">
        <is>
          <t>mejor portatil teletrabajo</t>
        </is>
      </c>
      <c r="B14" s="34" t="inlineStr">
        <is>
          <t>/tienda/portatiles</t>
        </is>
      </c>
      <c r="C14" s="35" t="n">
        <v>16000</v>
      </c>
      <c r="D14" s="31" t="inlineStr"/>
      <c r="E14" s="31" t="inlineStr"/>
      <c r="F14" s="32">
        <f>IF(AND(D14&lt;&gt;"",E14&lt;&gt;""),D14-E14,"")</f>
        <v/>
      </c>
      <c r="G14" s="31" t="inlineStr"/>
      <c r="H14" s="32">
        <f>IF(AND(D14&lt;&gt;"",G14&lt;&gt;""),D14-G14,"")</f>
        <v/>
      </c>
      <c r="I14" s="31" t="inlineStr"/>
      <c r="J14" s="32">
        <f>IF(AND(D14&lt;&gt;"",I14&lt;&gt;""),D14-I14,"")</f>
        <v/>
      </c>
      <c r="K14" s="36" t="inlineStr">
        <is>
          <t>Comercial</t>
        </is>
      </c>
      <c r="L14" s="36" t="inlineStr">
        <is>
          <t>🔴 Alta</t>
        </is>
      </c>
      <c r="M14" s="34" t="inlineStr"/>
    </row>
    <row r="15" ht="20" customHeight="1">
      <c r="A15" s="58" t="inlineStr">
        <is>
          <t>macbook air m3 opinion</t>
        </is>
      </c>
      <c r="B15" s="58" t="inlineStr">
        <is>
          <t>/blog/macbook-air-m3-analisis</t>
        </is>
      </c>
      <c r="C15" s="59" t="n">
        <v>4400</v>
      </c>
      <c r="D15" s="31" t="inlineStr"/>
      <c r="E15" s="31" t="inlineStr"/>
      <c r="F15" s="32">
        <f>IF(AND(D15&lt;&gt;"",E15&lt;&gt;""),D15-E15,"")</f>
        <v/>
      </c>
      <c r="G15" s="31" t="inlineStr"/>
      <c r="H15" s="32">
        <f>IF(AND(D15&lt;&gt;"",G15&lt;&gt;""),D15-G15,"")</f>
        <v/>
      </c>
      <c r="I15" s="31" t="inlineStr"/>
      <c r="J15" s="32">
        <f>IF(AND(D15&lt;&gt;"",I15&lt;&gt;""),D15-I15,"")</f>
        <v/>
      </c>
      <c r="K15" s="60" t="inlineStr">
        <is>
          <t>Comercial</t>
        </is>
      </c>
      <c r="L15" s="60" t="inlineStr">
        <is>
          <t>🟡 Media</t>
        </is>
      </c>
      <c r="M15" s="58" t="inlineStr"/>
    </row>
    <row r="16" ht="20" customHeight="1">
      <c r="A16" s="34" t="inlineStr">
        <is>
          <t>webcam para videollamadas</t>
        </is>
      </c>
      <c r="B16" s="34" t="inlineStr">
        <is>
          <t>/tienda/webcams</t>
        </is>
      </c>
      <c r="C16" s="35" t="n">
        <v>6600</v>
      </c>
      <c r="D16" s="31" t="inlineStr"/>
      <c r="E16" s="31" t="inlineStr"/>
      <c r="F16" s="32">
        <f>IF(AND(D16&lt;&gt;"",E16&lt;&gt;""),D16-E16,"")</f>
        <v/>
      </c>
      <c r="G16" s="31" t="inlineStr"/>
      <c r="H16" s="32">
        <f>IF(AND(D16&lt;&gt;"",G16&lt;&gt;""),D16-G16,"")</f>
        <v/>
      </c>
      <c r="I16" s="31" t="inlineStr"/>
      <c r="J16" s="32">
        <f>IF(AND(D16&lt;&gt;"",I16&lt;&gt;""),D16-I16,"")</f>
        <v/>
      </c>
      <c r="K16" s="36" t="inlineStr">
        <is>
          <t>Informacional</t>
        </is>
      </c>
      <c r="L16" s="36" t="inlineStr">
        <is>
          <t>🟡 Media</t>
        </is>
      </c>
      <c r="M16" s="34" t="inlineStr"/>
    </row>
    <row r="17" ht="20" customHeight="1">
      <c r="A17" s="58" t="inlineStr">
        <is>
          <t>mejor microfono podcast usb</t>
        </is>
      </c>
      <c r="B17" s="58" t="inlineStr">
        <is>
          <t>/tienda/microfonos</t>
        </is>
      </c>
      <c r="C17" s="59" t="n">
        <v>5800</v>
      </c>
      <c r="D17" s="31" t="inlineStr"/>
      <c r="E17" s="31" t="inlineStr"/>
      <c r="F17" s="32">
        <f>IF(AND(D17&lt;&gt;"",E17&lt;&gt;""),D17-E17,"")</f>
        <v/>
      </c>
      <c r="G17" s="31" t="inlineStr"/>
      <c r="H17" s="32">
        <f>IF(AND(D17&lt;&gt;"",G17&lt;&gt;""),D17-G17,"")</f>
        <v/>
      </c>
      <c r="I17" s="31" t="inlineStr"/>
      <c r="J17" s="32">
        <f>IF(AND(D17&lt;&gt;"",I17&lt;&gt;""),D17-I17,"")</f>
        <v/>
      </c>
      <c r="K17" s="60" t="inlineStr">
        <is>
          <t>Comercial</t>
        </is>
      </c>
      <c r="L17" s="60" t="inlineStr">
        <is>
          <t>🟡 Media</t>
        </is>
      </c>
      <c r="M17" s="58" t="inlineStr"/>
    </row>
    <row r="18" ht="20" customHeight="1">
      <c r="A18" s="34" t="inlineStr">
        <is>
          <t>home office productivo guia</t>
        </is>
      </c>
      <c r="B18" s="34" t="inlineStr">
        <is>
          <t>/blog/home-office-setup-productivo-guia</t>
        </is>
      </c>
      <c r="C18" s="35" t="n">
        <v>3600</v>
      </c>
      <c r="D18" s="31" t="inlineStr"/>
      <c r="E18" s="31" t="inlineStr"/>
      <c r="F18" s="32">
        <f>IF(AND(D18&lt;&gt;"",E18&lt;&gt;""),D18-E18,"")</f>
        <v/>
      </c>
      <c r="G18" s="31" t="inlineStr"/>
      <c r="H18" s="32">
        <f>IF(AND(D18&lt;&gt;"",G18&lt;&gt;""),D18-G18,"")</f>
        <v/>
      </c>
      <c r="I18" s="31" t="inlineStr"/>
      <c r="J18" s="32">
        <f>IF(AND(D18&lt;&gt;"",I18&lt;&gt;""),D18-I18,"")</f>
        <v/>
      </c>
      <c r="K18" s="36" t="inlineStr">
        <is>
          <t>Informacional</t>
        </is>
      </c>
      <c r="L18" s="36" t="inlineStr">
        <is>
          <t>🟢 Baja</t>
        </is>
      </c>
      <c r="M18" s="34" t="inlineStr"/>
    </row>
    <row r="19" ht="14" customHeight="1"/>
    <row r="20" ht="24" customHeight="1">
      <c r="A20" s="61" t="inlineStr">
        <is>
          <t>ESTADÍSTICAS BASELINE</t>
        </is>
      </c>
    </row>
    <row r="21" ht="18" customHeight="1">
      <c r="A21" s="62" t="inlineStr">
        <is>
          <t>Keywords trackeadas</t>
        </is>
      </c>
      <c r="B21" s="63" t="inlineStr">
        <is>
          <t>14</t>
        </is>
      </c>
    </row>
    <row r="22" ht="18" customHeight="1">
      <c r="A22" s="62" t="inlineStr">
        <is>
          <t>Alta prioridad (vol ≥10K)</t>
        </is>
      </c>
      <c r="B22" s="63" t="inlineStr">
        <is>
          <t>3</t>
        </is>
      </c>
    </row>
    <row r="23" ht="18" customHeight="1">
      <c r="A23" s="62" t="inlineStr">
        <is>
          <t>Media prioridad (4K-10K)</t>
        </is>
      </c>
      <c r="B23" s="63" t="inlineStr">
        <is>
          <t>7</t>
        </is>
      </c>
    </row>
    <row r="24" ht="18" customHeight="1">
      <c r="A24" s="62" t="inlineStr">
        <is>
          <t>Baja prioridad (&lt;4K)</t>
        </is>
      </c>
      <c r="B24" s="63" t="inlineStr">
        <is>
          <t>4</t>
        </is>
      </c>
    </row>
    <row r="25" ht="18" customHeight="1">
      <c r="A25" s="62" t="inlineStr">
        <is>
          <t>Volumen total estimado</t>
        </is>
      </c>
      <c r="B25" s="63" t="inlineStr">
        <is>
          <t>106,700</t>
        </is>
      </c>
    </row>
  </sheetData>
  <mergeCells count="3">
    <mergeCell ref="A20:C20"/>
    <mergeCell ref="A2:M2"/>
    <mergeCell ref="A1:M1"/>
  </mergeCells>
  <conditionalFormatting sqref="F5:F18">
    <cfRule type="expression" priority="1" dxfId="0">
      <formula>AND(ISNUMBER(F5),F5&gt;0)</formula>
    </cfRule>
    <cfRule type="expression" priority="2" dxfId="1">
      <formula>AND(ISNUMBER(F5),F5&lt;0)</formula>
    </cfRule>
  </conditionalFormatting>
  <conditionalFormatting sqref="H5:H18">
    <cfRule type="expression" priority="3" dxfId="0">
      <formula>AND(ISNUMBER(H5),H5&gt;0)</formula>
    </cfRule>
    <cfRule type="expression" priority="4" dxfId="1">
      <formula>AND(ISNUMBER(H5),H5&lt;0)</formula>
    </cfRule>
  </conditionalFormatting>
  <conditionalFormatting sqref="J5:J18">
    <cfRule type="expression" priority="5" dxfId="0">
      <formula>AND(ISNUMBER(J5),J5&gt;0)</formula>
    </cfRule>
    <cfRule type="expression" priority="6" dxfId="1">
      <formula>AND(ISNUMBER(J5),J5&lt;0)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2" customWidth="1" min="4" max="4"/>
    <col width="11" customWidth="1" min="5" max="5"/>
    <col width="8" customWidth="1" min="6" max="6"/>
    <col width="11" customWidth="1" min="7" max="7"/>
    <col width="8" customWidth="1" min="8" max="8"/>
    <col width="11" customWidth="1" min="9" max="9"/>
    <col width="9" customWidth="1" min="10" max="10"/>
    <col width="12" customWidth="1" min="11" max="11"/>
    <col width="10" customWidth="1" min="12" max="12"/>
    <col width="28" customWidth="1" min="13" max="13"/>
  </cols>
  <sheetData>
    <row r="1" ht="35" customHeight="1">
      <c r="A1" s="64" t="inlineStr">
        <is>
          <t>TRACKER DE POSICIONAMIENTO — JUGUETESTEM.ES</t>
        </is>
      </c>
    </row>
    <row r="2" ht="20" customHeight="1">
      <c r="A2" s="65" t="inlineStr">
        <is>
          <t>Baseline: 15/08/2026 | Próxima revisión: +30 días | Fuente: Google Search Console</t>
        </is>
      </c>
    </row>
    <row r="3" ht="12" customHeight="1"/>
    <row r="4" ht="38" customHeight="1">
      <c r="A4" s="28" t="inlineStr">
        <is>
          <t>Keyword objetivo</t>
        </is>
      </c>
      <c r="B4" s="28" t="inlineStr">
        <is>
          <t>URL objetivo en el sitio</t>
        </is>
      </c>
      <c r="C4" s="28" t="inlineStr">
        <is>
          <t>Volumen búsq. (est.)</t>
        </is>
      </c>
      <c r="D4" s="28" t="inlineStr">
        <is>
          <t>Posición Actual
Baseline 15/08/2026</t>
        </is>
      </c>
      <c r="E4" s="28" t="inlineStr">
        <is>
          <t>Posición
30 días</t>
        </is>
      </c>
      <c r="F4" s="28" t="inlineStr">
        <is>
          <t>Δ 30d</t>
        </is>
      </c>
      <c r="G4" s="28" t="inlineStr">
        <is>
          <t>Posición
60 días</t>
        </is>
      </c>
      <c r="H4" s="28" t="inlineStr">
        <is>
          <t>Δ 60d</t>
        </is>
      </c>
      <c r="I4" s="28" t="inlineStr">
        <is>
          <t>Posición
90 días</t>
        </is>
      </c>
      <c r="J4" s="28" t="inlineStr">
        <is>
          <t>Δ 90d total</t>
        </is>
      </c>
      <c r="K4" s="28" t="inlineStr">
        <is>
          <t>Intención
búsqueda</t>
        </is>
      </c>
      <c r="L4" s="28" t="inlineStr">
        <is>
          <t>Prioridad</t>
        </is>
      </c>
      <c r="M4" s="28" t="inlineStr">
        <is>
          <t>Notas / acciones</t>
        </is>
      </c>
    </row>
    <row r="5" ht="20" customHeight="1">
      <c r="A5" s="66" t="inlineStr">
        <is>
          <t>juguetes stem ninos</t>
        </is>
      </c>
      <c r="B5" s="66" t="inlineStr">
        <is>
          <t>/tienda/kits-robotica</t>
        </is>
      </c>
      <c r="C5" s="67" t="n">
        <v>8800</v>
      </c>
      <c r="D5" s="31" t="inlineStr"/>
      <c r="E5" s="31" t="inlineStr"/>
      <c r="F5" s="32">
        <f>IF(AND(D5&lt;&gt;"",E5&lt;&gt;""),D5-E5,"")</f>
        <v/>
      </c>
      <c r="G5" s="31" t="inlineStr"/>
      <c r="H5" s="32">
        <f>IF(AND(D5&lt;&gt;"",G5&lt;&gt;""),D5-G5,"")</f>
        <v/>
      </c>
      <c r="I5" s="31" t="inlineStr"/>
      <c r="J5" s="32">
        <f>IF(AND(D5&lt;&gt;"",I5&lt;&gt;""),D5-I5,"")</f>
        <v/>
      </c>
      <c r="K5" s="68" t="inlineStr">
        <is>
          <t>Informacional</t>
        </is>
      </c>
      <c r="L5" s="68" t="inlineStr">
        <is>
          <t>🟡 Media</t>
        </is>
      </c>
      <c r="M5" s="66" t="inlineStr"/>
    </row>
    <row r="6" ht="20" customHeight="1">
      <c r="A6" s="34" t="inlineStr">
        <is>
          <t>juguetes montessori 3 anos</t>
        </is>
      </c>
      <c r="B6" s="34" t="inlineStr">
        <is>
          <t>/blog/mejores-juguetes-montessori-3-anos</t>
        </is>
      </c>
      <c r="C6" s="35" t="n">
        <v>9900</v>
      </c>
      <c r="D6" s="31" t="inlineStr"/>
      <c r="E6" s="31" t="inlineStr"/>
      <c r="F6" s="32">
        <f>IF(AND(D6&lt;&gt;"",E6&lt;&gt;""),D6-E6,"")</f>
        <v/>
      </c>
      <c r="G6" s="31" t="inlineStr"/>
      <c r="H6" s="32">
        <f>IF(AND(D6&lt;&gt;"",G6&lt;&gt;""),D6-G6,"")</f>
        <v/>
      </c>
      <c r="I6" s="31" t="inlineStr"/>
      <c r="J6" s="32">
        <f>IF(AND(D6&lt;&gt;"",I6&lt;&gt;""),D6-I6,"")</f>
        <v/>
      </c>
      <c r="K6" s="36" t="inlineStr">
        <is>
          <t>Informacional</t>
        </is>
      </c>
      <c r="L6" s="36" t="inlineStr">
        <is>
          <t>🟡 Media</t>
        </is>
      </c>
      <c r="M6" s="34" t="inlineStr"/>
    </row>
    <row r="7" ht="20" customHeight="1">
      <c r="A7" s="66" t="inlineStr">
        <is>
          <t>juguetes educativos 8 anos</t>
        </is>
      </c>
      <c r="B7" s="66" t="inlineStr">
        <is>
          <t>/blog/mejores-juguetes-stem-8-12-anos</t>
        </is>
      </c>
      <c r="C7" s="67" t="n">
        <v>7200</v>
      </c>
      <c r="D7" s="31" t="inlineStr"/>
      <c r="E7" s="31" t="inlineStr"/>
      <c r="F7" s="32">
        <f>IF(AND(D7&lt;&gt;"",E7&lt;&gt;""),D7-E7,"")</f>
        <v/>
      </c>
      <c r="G7" s="31" t="inlineStr"/>
      <c r="H7" s="32">
        <f>IF(AND(D7&lt;&gt;"",G7&lt;&gt;""),D7-G7,"")</f>
        <v/>
      </c>
      <c r="I7" s="31" t="inlineStr"/>
      <c r="J7" s="32">
        <f>IF(AND(D7&lt;&gt;"",I7&lt;&gt;""),D7-I7,"")</f>
        <v/>
      </c>
      <c r="K7" s="68" t="inlineStr">
        <is>
          <t>Informacional</t>
        </is>
      </c>
      <c r="L7" s="68" t="inlineStr">
        <is>
          <t>🟡 Media</t>
        </is>
      </c>
      <c r="M7" s="66" t="inlineStr"/>
    </row>
    <row r="8" ht="20" customHeight="1">
      <c r="A8" s="34" t="inlineStr">
        <is>
          <t>mejor telescopio ninos</t>
        </is>
      </c>
      <c r="B8" s="34" t="inlineStr">
        <is>
          <t>/tienda/telescopios-microscopios</t>
        </is>
      </c>
      <c r="C8" s="35" t="n">
        <v>4400</v>
      </c>
      <c r="D8" s="31" t="inlineStr"/>
      <c r="E8" s="31" t="inlineStr"/>
      <c r="F8" s="32">
        <f>IF(AND(D8&lt;&gt;"",E8&lt;&gt;""),D8-E8,"")</f>
        <v/>
      </c>
      <c r="G8" s="31" t="inlineStr"/>
      <c r="H8" s="32">
        <f>IF(AND(D8&lt;&gt;"",G8&lt;&gt;""),D8-G8,"")</f>
        <v/>
      </c>
      <c r="I8" s="31" t="inlineStr"/>
      <c r="J8" s="32">
        <f>IF(AND(D8&lt;&gt;"",I8&lt;&gt;""),D8-I8,"")</f>
        <v/>
      </c>
      <c r="K8" s="36" t="inlineStr">
        <is>
          <t>Comercial</t>
        </is>
      </c>
      <c r="L8" s="36" t="inlineStr">
        <is>
          <t>🟡 Media</t>
        </is>
      </c>
      <c r="M8" s="34" t="inlineStr"/>
    </row>
    <row r="9" ht="20" customHeight="1">
      <c r="A9" s="66" t="inlineStr">
        <is>
          <t>kit robotica ninos</t>
        </is>
      </c>
      <c r="B9" s="66" t="inlineStr">
        <is>
          <t>/tienda/kits-robotica</t>
        </is>
      </c>
      <c r="C9" s="67" t="n">
        <v>5100</v>
      </c>
      <c r="D9" s="31" t="inlineStr"/>
      <c r="E9" s="31" t="inlineStr"/>
      <c r="F9" s="32">
        <f>IF(AND(D9&lt;&gt;"",E9&lt;&gt;""),D9-E9,"")</f>
        <v/>
      </c>
      <c r="G9" s="31" t="inlineStr"/>
      <c r="H9" s="32">
        <f>IF(AND(D9&lt;&gt;"",G9&lt;&gt;""),D9-G9,"")</f>
        <v/>
      </c>
      <c r="I9" s="31" t="inlineStr"/>
      <c r="J9" s="32">
        <f>IF(AND(D9&lt;&gt;"",I9&lt;&gt;""),D9-I9,"")</f>
        <v/>
      </c>
      <c r="K9" s="68" t="inlineStr">
        <is>
          <t>Informacional</t>
        </is>
      </c>
      <c r="L9" s="68" t="inlineStr">
        <is>
          <t>🟡 Media</t>
        </is>
      </c>
      <c r="M9" s="66" t="inlineStr"/>
    </row>
    <row r="10" ht="20" customHeight="1">
      <c r="A10" s="34" t="inlineStr">
        <is>
          <t>lego stem educativo</t>
        </is>
      </c>
      <c r="B10" s="34" t="inlineStr">
        <is>
          <t>/tienda/kits-robotica</t>
        </is>
      </c>
      <c r="C10" s="35" t="n">
        <v>3600</v>
      </c>
      <c r="D10" s="31" t="inlineStr"/>
      <c r="E10" s="31" t="inlineStr"/>
      <c r="F10" s="32">
        <f>IF(AND(D10&lt;&gt;"",E10&lt;&gt;""),D10-E10,"")</f>
        <v/>
      </c>
      <c r="G10" s="31" t="inlineStr"/>
      <c r="H10" s="32">
        <f>IF(AND(D10&lt;&gt;"",G10&lt;&gt;""),D10-G10,"")</f>
        <v/>
      </c>
      <c r="I10" s="31" t="inlineStr"/>
      <c r="J10" s="32">
        <f>IF(AND(D10&lt;&gt;"",I10&lt;&gt;""),D10-I10,"")</f>
        <v/>
      </c>
      <c r="K10" s="36" t="inlineStr">
        <is>
          <t>Informacional</t>
        </is>
      </c>
      <c r="L10" s="36" t="inlineStr">
        <is>
          <t>🟢 Baja</t>
        </is>
      </c>
      <c r="M10" s="34" t="inlineStr"/>
    </row>
    <row r="11" ht="20" customHeight="1">
      <c r="A11" s="66" t="inlineStr">
        <is>
          <t>juguetes educativos navidad</t>
        </is>
      </c>
      <c r="B11" s="66" t="inlineStr">
        <is>
          <t>/blog/mejores-juguetes-navidad-2025</t>
        </is>
      </c>
      <c r="C11" s="67" t="n">
        <v>14000</v>
      </c>
      <c r="D11" s="31" t="inlineStr"/>
      <c r="E11" s="31" t="inlineStr"/>
      <c r="F11" s="32">
        <f>IF(AND(D11&lt;&gt;"",E11&lt;&gt;""),D11-E11,"")</f>
        <v/>
      </c>
      <c r="G11" s="31" t="inlineStr"/>
      <c r="H11" s="32">
        <f>IF(AND(D11&lt;&gt;"",G11&lt;&gt;""),D11-G11,"")</f>
        <v/>
      </c>
      <c r="I11" s="31" t="inlineStr"/>
      <c r="J11" s="32">
        <f>IF(AND(D11&lt;&gt;"",I11&lt;&gt;""),D11-I11,"")</f>
        <v/>
      </c>
      <c r="K11" s="68" t="inlineStr">
        <is>
          <t>Informacional</t>
        </is>
      </c>
      <c r="L11" s="68" t="inlineStr">
        <is>
          <t>🔴 Alta</t>
        </is>
      </c>
      <c r="M11" s="66" t="inlineStr">
        <is>
          <t>Estacional</t>
        </is>
      </c>
    </row>
    <row r="12" ht="20" customHeight="1">
      <c r="A12" s="34" t="inlineStr">
        <is>
          <t>tablet educativa ninos</t>
        </is>
      </c>
      <c r="B12" s="34" t="inlineStr">
        <is>
          <t>/tienda/tablets-educativas</t>
        </is>
      </c>
      <c r="C12" s="35" t="n">
        <v>12000</v>
      </c>
      <c r="D12" s="31" t="inlineStr"/>
      <c r="E12" s="31" t="inlineStr"/>
      <c r="F12" s="32">
        <f>IF(AND(D12&lt;&gt;"",E12&lt;&gt;""),D12-E12,"")</f>
        <v/>
      </c>
      <c r="G12" s="31" t="inlineStr"/>
      <c r="H12" s="32">
        <f>IF(AND(D12&lt;&gt;"",G12&lt;&gt;""),D12-G12,"")</f>
        <v/>
      </c>
      <c r="I12" s="31" t="inlineStr"/>
      <c r="J12" s="32">
        <f>IF(AND(D12&lt;&gt;"",I12&lt;&gt;""),D12-I12,"")</f>
        <v/>
      </c>
      <c r="K12" s="36" t="inlineStr">
        <is>
          <t>Informacional</t>
        </is>
      </c>
      <c r="L12" s="36" t="inlineStr">
        <is>
          <t>🔴 Alta</t>
        </is>
      </c>
      <c r="M12" s="34" t="inlineStr"/>
    </row>
    <row r="13" ht="20" customHeight="1">
      <c r="A13" s="66" t="inlineStr">
        <is>
          <t>mejor tablet nino 8 anos</t>
        </is>
      </c>
      <c r="B13" s="66" t="inlineStr">
        <is>
          <t>/blog/mejores-tablets-educativas-2025</t>
        </is>
      </c>
      <c r="C13" s="67" t="n">
        <v>6600</v>
      </c>
      <c r="D13" s="31" t="inlineStr"/>
      <c r="E13" s="31" t="inlineStr"/>
      <c r="F13" s="32">
        <f>IF(AND(D13&lt;&gt;"",E13&lt;&gt;""),D13-E13,"")</f>
        <v/>
      </c>
      <c r="G13" s="31" t="inlineStr"/>
      <c r="H13" s="32">
        <f>IF(AND(D13&lt;&gt;"",G13&lt;&gt;""),D13-G13,"")</f>
        <v/>
      </c>
      <c r="I13" s="31" t="inlineStr"/>
      <c r="J13" s="32">
        <f>IF(AND(D13&lt;&gt;"",I13&lt;&gt;""),D13-I13,"")</f>
        <v/>
      </c>
      <c r="K13" s="68" t="inlineStr">
        <is>
          <t>Comercial</t>
        </is>
      </c>
      <c r="L13" s="68" t="inlineStr">
        <is>
          <t>🟡 Media</t>
        </is>
      </c>
      <c r="M13" s="66" t="inlineStr"/>
    </row>
    <row r="14" ht="20" customHeight="1">
      <c r="A14" s="34" t="inlineStr">
        <is>
          <t>juegos de mesa familia</t>
        </is>
      </c>
      <c r="B14" s="34" t="inlineStr">
        <is>
          <t>/blog/mejores-juegos-mesa-familia</t>
        </is>
      </c>
      <c r="C14" s="35" t="n">
        <v>8200</v>
      </c>
      <c r="D14" s="31" t="inlineStr"/>
      <c r="E14" s="31" t="inlineStr"/>
      <c r="F14" s="32">
        <f>IF(AND(D14&lt;&gt;"",E14&lt;&gt;""),D14-E14,"")</f>
        <v/>
      </c>
      <c r="G14" s="31" t="inlineStr"/>
      <c r="H14" s="32">
        <f>IF(AND(D14&lt;&gt;"",G14&lt;&gt;""),D14-G14,"")</f>
        <v/>
      </c>
      <c r="I14" s="31" t="inlineStr"/>
      <c r="J14" s="32">
        <f>IF(AND(D14&lt;&gt;"",I14&lt;&gt;""),D14-I14,"")</f>
        <v/>
      </c>
      <c r="K14" s="36" t="inlineStr">
        <is>
          <t>Informacional</t>
        </is>
      </c>
      <c r="L14" s="36" t="inlineStr">
        <is>
          <t>🟡 Media</t>
        </is>
      </c>
      <c r="M14" s="34" t="inlineStr"/>
    </row>
    <row r="15" ht="20" customHeight="1">
      <c r="A15" s="66" t="inlineStr">
        <is>
          <t>juguetes ninos necesidades especiales</t>
        </is>
      </c>
      <c r="B15" s="66" t="inlineStr">
        <is>
          <t>/blog/juguetes-ninos-necesidades-especiales</t>
        </is>
      </c>
      <c r="C15" s="67" t="n">
        <v>1800</v>
      </c>
      <c r="D15" s="31" t="inlineStr"/>
      <c r="E15" s="31" t="inlineStr"/>
      <c r="F15" s="32">
        <f>IF(AND(D15&lt;&gt;"",E15&lt;&gt;""),D15-E15,"")</f>
        <v/>
      </c>
      <c r="G15" s="31" t="inlineStr"/>
      <c r="H15" s="32">
        <f>IF(AND(D15&lt;&gt;"",G15&lt;&gt;""),D15-G15,"")</f>
        <v/>
      </c>
      <c r="I15" s="31" t="inlineStr"/>
      <c r="J15" s="32">
        <f>IF(AND(D15&lt;&gt;"",I15&lt;&gt;""),D15-I15,"")</f>
        <v/>
      </c>
      <c r="K15" s="68" t="inlineStr">
        <is>
          <t>Informacional</t>
        </is>
      </c>
      <c r="L15" s="68" t="inlineStr">
        <is>
          <t>🟢 Baja</t>
        </is>
      </c>
      <c r="M15" s="66" t="inlineStr"/>
    </row>
    <row r="16" ht="20" customHeight="1">
      <c r="A16" s="34" t="inlineStr">
        <is>
          <t>programacion ninos juguetes</t>
        </is>
      </c>
      <c r="B16" s="34" t="inlineStr">
        <is>
          <t>/blog/como-introducir-programacion-ninos</t>
        </is>
      </c>
      <c r="C16" s="35" t="n">
        <v>3200</v>
      </c>
      <c r="D16" s="31" t="inlineStr"/>
      <c r="E16" s="31" t="inlineStr"/>
      <c r="F16" s="32">
        <f>IF(AND(D16&lt;&gt;"",E16&lt;&gt;""),D16-E16,"")</f>
        <v/>
      </c>
      <c r="G16" s="31" t="inlineStr"/>
      <c r="H16" s="32">
        <f>IF(AND(D16&lt;&gt;"",G16&lt;&gt;""),D16-G16,"")</f>
        <v/>
      </c>
      <c r="I16" s="31" t="inlineStr"/>
      <c r="J16" s="32">
        <f>IF(AND(D16&lt;&gt;"",I16&lt;&gt;""),D16-I16,"")</f>
        <v/>
      </c>
      <c r="K16" s="36" t="inlineStr">
        <is>
          <t>Informacional</t>
        </is>
      </c>
      <c r="L16" s="36" t="inlineStr">
        <is>
          <t>🟢 Baja</t>
        </is>
      </c>
      <c r="M16" s="34" t="inlineStr"/>
    </row>
    <row r="17" ht="20" customHeight="1">
      <c r="A17" s="66" t="inlineStr">
        <is>
          <t>microscopio ninos comprar</t>
        </is>
      </c>
      <c r="B17" s="66" t="inlineStr">
        <is>
          <t>/tienda/telescopios-microscopios</t>
        </is>
      </c>
      <c r="C17" s="67" t="n">
        <v>2900</v>
      </c>
      <c r="D17" s="31" t="inlineStr"/>
      <c r="E17" s="31" t="inlineStr"/>
      <c r="F17" s="32">
        <f>IF(AND(D17&lt;&gt;"",E17&lt;&gt;""),D17-E17,"")</f>
        <v/>
      </c>
      <c r="G17" s="31" t="inlineStr"/>
      <c r="H17" s="32">
        <f>IF(AND(D17&lt;&gt;"",G17&lt;&gt;""),D17-G17,"")</f>
        <v/>
      </c>
      <c r="I17" s="31" t="inlineStr"/>
      <c r="J17" s="32">
        <f>IF(AND(D17&lt;&gt;"",I17&lt;&gt;""),D17-I17,"")</f>
        <v/>
      </c>
      <c r="K17" s="68" t="inlineStr">
        <is>
          <t>Transaccional</t>
        </is>
      </c>
      <c r="L17" s="68" t="inlineStr">
        <is>
          <t>🟢 Baja</t>
        </is>
      </c>
      <c r="M17" s="66" t="inlineStr"/>
    </row>
    <row r="18" ht="14" customHeight="1"/>
    <row r="19" ht="24" customHeight="1">
      <c r="A19" s="69" t="inlineStr">
        <is>
          <t>ESTADÍSTICAS BASELINE</t>
        </is>
      </c>
    </row>
    <row r="20" ht="18" customHeight="1">
      <c r="A20" s="70" t="inlineStr">
        <is>
          <t>Keywords trackeadas</t>
        </is>
      </c>
      <c r="B20" s="71" t="inlineStr">
        <is>
          <t>13</t>
        </is>
      </c>
    </row>
    <row r="21" ht="18" customHeight="1">
      <c r="A21" s="70" t="inlineStr">
        <is>
          <t>Alta prioridad (vol ≥10K)</t>
        </is>
      </c>
      <c r="B21" s="71" t="inlineStr">
        <is>
          <t>2</t>
        </is>
      </c>
    </row>
    <row r="22" ht="18" customHeight="1">
      <c r="A22" s="70" t="inlineStr">
        <is>
          <t>Media prioridad (4K-10K)</t>
        </is>
      </c>
      <c r="B22" s="71" t="inlineStr">
        <is>
          <t>7</t>
        </is>
      </c>
    </row>
    <row r="23" ht="18" customHeight="1">
      <c r="A23" s="70" t="inlineStr">
        <is>
          <t>Baja prioridad (&lt;4K)</t>
        </is>
      </c>
      <c r="B23" s="71" t="inlineStr">
        <is>
          <t>4</t>
        </is>
      </c>
    </row>
    <row r="24" ht="18" customHeight="1">
      <c r="A24" s="70" t="inlineStr">
        <is>
          <t>Volumen total estimado</t>
        </is>
      </c>
      <c r="B24" s="71" t="inlineStr">
        <is>
          <t>87,700</t>
        </is>
      </c>
    </row>
  </sheetData>
  <mergeCells count="3">
    <mergeCell ref="A2:M2"/>
    <mergeCell ref="A19:C19"/>
    <mergeCell ref="A1:M1"/>
  </mergeCells>
  <conditionalFormatting sqref="F5:F17">
    <cfRule type="expression" priority="1" dxfId="0">
      <formula>AND(ISNUMBER(F5),F5&gt;0)</formula>
    </cfRule>
    <cfRule type="expression" priority="2" dxfId="1">
      <formula>AND(ISNUMBER(F5),F5&lt;0)</formula>
    </cfRule>
  </conditionalFormatting>
  <conditionalFormatting sqref="H5:H17">
    <cfRule type="expression" priority="3" dxfId="0">
      <formula>AND(ISNUMBER(H5),H5&gt;0)</formula>
    </cfRule>
    <cfRule type="expression" priority="4" dxfId="1">
      <formula>AND(ISNUMBER(H5),H5&lt;0)</formula>
    </cfRule>
  </conditionalFormatting>
  <conditionalFormatting sqref="J5:J17">
    <cfRule type="expression" priority="5" dxfId="0">
      <formula>AND(ISNUMBER(J5),J5&gt;0)</formula>
    </cfRule>
    <cfRule type="expression" priority="6" dxfId="1">
      <formula>AND(ISNUMBER(J5),J5&lt;0)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59669"/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25" customWidth="1" min="4" max="4"/>
    <col width="15" customWidth="1" min="5" max="5"/>
    <col width="10" customWidth="1" min="6" max="6"/>
    <col width="12" customWidth="1" min="7" max="7"/>
    <col width="12" customWidth="1" min="8" max="8"/>
  </cols>
  <sheetData>
    <row r="1" ht="35" customHeight="1">
      <c r="A1" s="72" t="inlineStr">
        <is>
          <t>ACCIONES SEO PRIORITARIAS — PLAN DE MEJORA DE POSICIONAMIENTO</t>
        </is>
      </c>
    </row>
    <row r="2" ht="25" customHeight="1">
      <c r="A2" s="3" t="inlineStr">
        <is>
          <t>Sitio</t>
        </is>
      </c>
      <c r="B2" s="3" t="inlineStr">
        <is>
          <t>Tipo acción</t>
        </is>
      </c>
      <c r="C2" s="3" t="inlineStr">
        <is>
          <t>Descripción</t>
        </is>
      </c>
      <c r="D2" s="3" t="inlineStr">
        <is>
          <t>Keywords afectadas</t>
        </is>
      </c>
      <c r="E2" s="3" t="inlineStr">
        <is>
          <t>Impacto esperado</t>
        </is>
      </c>
      <c r="F2" s="3" t="inlineStr">
        <is>
          <t>Esfuerzo</t>
        </is>
      </c>
      <c r="G2" s="3" t="inlineStr">
        <is>
          <t>Plazo</t>
        </is>
      </c>
      <c r="H2" s="3" t="inlineStr">
        <is>
          <t>Estado</t>
        </is>
      </c>
    </row>
    <row r="3" ht="24" customHeight="1">
      <c r="A3" s="32" t="inlineStr">
        <is>
          <t>guiadelpiscina.com</t>
        </is>
      </c>
      <c r="B3" s="32" t="inlineStr">
        <is>
          <t>Contenido</t>
        </is>
      </c>
      <c r="C3" s="73" t="inlineStr">
        <is>
          <t>Añadir FAQ schema a artículos de mantenimiento con preguntas de búsqueda real (cloro, pH, algaicida)</t>
        </is>
      </c>
      <c r="D3" s="32" t="inlineStr">
        <is>
          <t>cloro piscina, pH piscina, alguicida</t>
        </is>
      </c>
      <c r="E3" s="32" t="inlineStr">
        <is>
          <t>🔴 Alto</t>
        </is>
      </c>
      <c r="F3" s="32" t="inlineStr">
        <is>
          <t>Medio</t>
        </is>
      </c>
      <c r="G3" s="32" t="inlineStr">
        <is>
          <t>Semana 1-2</t>
        </is>
      </c>
      <c r="H3" s="32" t="inlineStr">
        <is>
          <t>⬜ Pendiente</t>
        </is>
      </c>
    </row>
    <row r="4" ht="24" customHeight="1">
      <c r="A4" s="36" t="inlineStr">
        <is>
          <t>guiadelpiscina.com</t>
        </is>
      </c>
      <c r="B4" s="36" t="inlineStr">
        <is>
          <t>Internal linking</t>
        </is>
      </c>
      <c r="C4" s="34" t="inlineStr">
        <is>
          <t>Enlazar artículos de mantenimiento desde la home y desde artículos de productos relacionados</t>
        </is>
      </c>
      <c r="D4" s="36" t="inlineStr">
        <is>
          <t>mantenimiento piscina, robot limpiafondos</t>
        </is>
      </c>
      <c r="E4" s="36" t="inlineStr">
        <is>
          <t>🟡 Medio</t>
        </is>
      </c>
      <c r="F4" s="36" t="inlineStr">
        <is>
          <t>Bajo</t>
        </is>
      </c>
      <c r="G4" s="36" t="inlineStr">
        <is>
          <t>Semana 1</t>
        </is>
      </c>
      <c r="H4" s="36" t="inlineStr">
        <is>
          <t>⬜ Pendiente</t>
        </is>
      </c>
    </row>
    <row r="5" ht="24" customHeight="1">
      <c r="A5" s="32" t="inlineStr">
        <is>
          <t>fitnessfacil.es</t>
        </is>
      </c>
      <c r="B5" s="32" t="inlineStr">
        <is>
          <t>Contenido</t>
        </is>
      </c>
      <c r="C5" s="73" t="inlineStr">
        <is>
          <t>Actualizar títulos de artículos con año 2026 y ampliar comparativas con nuevos modelos verificados</t>
        </is>
      </c>
      <c r="D5" s="32" t="inlineStr">
        <is>
          <t>mejor cinta correr 2026, mejor bici estática</t>
        </is>
      </c>
      <c r="E5" s="32" t="inlineStr">
        <is>
          <t>🔴 Alto</t>
        </is>
      </c>
      <c r="F5" s="32" t="inlineStr">
        <is>
          <t>Medio</t>
        </is>
      </c>
      <c r="G5" s="32" t="inlineStr">
        <is>
          <t>Semana 1-2</t>
        </is>
      </c>
      <c r="H5" s="32" t="inlineStr">
        <is>
          <t>⬜ Pendiente</t>
        </is>
      </c>
    </row>
    <row r="6" ht="24" customHeight="1">
      <c r="A6" s="36" t="inlineStr">
        <is>
          <t>fitnessfacil.es</t>
        </is>
      </c>
      <c r="B6" s="36" t="inlineStr">
        <is>
          <t>Nuevo artículo</t>
        </is>
      </c>
      <c r="C6" s="34" t="inlineStr">
        <is>
          <t>Guía comparativa de bandas de resistencia 2026 (nueva categoría Thera-Band vs loop sets)</t>
        </is>
      </c>
      <c r="D6" s="36" t="inlineStr">
        <is>
          <t>bandas resistencia, theraband</t>
        </is>
      </c>
      <c r="E6" s="36" t="inlineStr">
        <is>
          <t>🔴 Alto</t>
        </is>
      </c>
      <c r="F6" s="36" t="inlineStr">
        <is>
          <t>Alto</t>
        </is>
      </c>
      <c r="G6" s="36" t="inlineStr">
        <is>
          <t>Semana 2-3</t>
        </is>
      </c>
      <c r="H6" s="36" t="inlineStr">
        <is>
          <t>⬜ Pendiente</t>
        </is>
      </c>
    </row>
    <row r="7" ht="24" customHeight="1">
      <c r="A7" s="32" t="inlineStr">
        <is>
          <t>fitnessfacil.es</t>
        </is>
      </c>
      <c r="B7" s="32" t="inlineStr">
        <is>
          <t>On-page</t>
        </is>
      </c>
      <c r="C7" s="73" t="inlineStr">
        <is>
          <t>Optimizar meta descriptions de las páginas de tienda (cintas, bicicletas) con keywords transaccionales</t>
        </is>
      </c>
      <c r="D7" s="32" t="inlineStr">
        <is>
          <t>comprar cinta correr, bicicleta estática precio</t>
        </is>
      </c>
      <c r="E7" s="32" t="inlineStr">
        <is>
          <t>🟡 Medio</t>
        </is>
      </c>
      <c r="F7" s="32" t="inlineStr">
        <is>
          <t>Bajo</t>
        </is>
      </c>
      <c r="G7" s="32" t="inlineStr">
        <is>
          <t>Semana 1</t>
        </is>
      </c>
      <c r="H7" s="32" t="inlineStr">
        <is>
          <t>⬜ Pendiente</t>
        </is>
      </c>
    </row>
    <row r="8" ht="24" customHeight="1">
      <c r="A8" s="36" t="inlineStr">
        <is>
          <t>cuidatumascota.es</t>
        </is>
      </c>
      <c r="B8" s="36" t="inlineStr">
        <is>
          <t>Nuevo artículo</t>
        </is>
      </c>
      <c r="C8" s="34" t="inlineStr">
        <is>
          <t>Guía completa de juguetes de enriquecimiento mental (nueva categoría juguetes)</t>
        </is>
      </c>
      <c r="D8" s="36" t="inlineStr">
        <is>
          <t>juguetes estimulacion perros, snuffle mat</t>
        </is>
      </c>
      <c r="E8" s="36" t="inlineStr">
        <is>
          <t>🔴 Alto</t>
        </is>
      </c>
      <c r="F8" s="36" t="inlineStr">
        <is>
          <t>Alto</t>
        </is>
      </c>
      <c r="G8" s="36" t="inlineStr">
        <is>
          <t>Semana 2-3</t>
        </is>
      </c>
      <c r="H8" s="36" t="inlineStr">
        <is>
          <t>⬜ Pendiente</t>
        </is>
      </c>
    </row>
    <row r="9" ht="24" customHeight="1">
      <c r="A9" s="32" t="inlineStr">
        <is>
          <t>cuidatumascota.es</t>
        </is>
      </c>
      <c r="B9" s="32" t="inlineStr">
        <is>
          <t>Contenido</t>
        </is>
      </c>
      <c r="C9" s="73" t="inlineStr">
        <is>
          <t>Ampliar artículo de alimentos prohibidos con sección descargable en PDF (recurso linkable)</t>
        </is>
      </c>
      <c r="D9" s="32" t="inlineStr">
        <is>
          <t>alimentos prohibidos perros, toxicos mascotas</t>
        </is>
      </c>
      <c r="E9" s="32" t="inlineStr">
        <is>
          <t>🔴 Alto</t>
        </is>
      </c>
      <c r="F9" s="32" t="inlineStr">
        <is>
          <t>Medio</t>
        </is>
      </c>
      <c r="G9" s="32" t="inlineStr">
        <is>
          <t>Semana 2</t>
        </is>
      </c>
      <c r="H9" s="32" t="inlineStr">
        <is>
          <t>⬜ Pendiente</t>
        </is>
      </c>
    </row>
    <row r="10" ht="24" customHeight="1">
      <c r="A10" s="36" t="inlineStr">
        <is>
          <t>cuidatumascota.es</t>
        </is>
      </c>
      <c r="B10" s="36" t="inlineStr">
        <is>
          <t>Internal linking</t>
        </is>
      </c>
      <c r="C10" s="34" t="inlineStr">
        <is>
          <t>Añadir links desde artículos de razas hacia artículos de alimentación y cuidados específicos</t>
        </is>
      </c>
      <c r="D10" s="36" t="inlineStr">
        <is>
          <t>pienso razas específicas</t>
        </is>
      </c>
      <c r="E10" s="36" t="inlineStr">
        <is>
          <t>🟡 Medio</t>
        </is>
      </c>
      <c r="F10" s="36" t="inlineStr">
        <is>
          <t>Bajo</t>
        </is>
      </c>
      <c r="G10" s="36" t="inlineStr">
        <is>
          <t>Semana 1</t>
        </is>
      </c>
      <c r="H10" s="36" t="inlineStr">
        <is>
          <t>⬜ Pendiente</t>
        </is>
      </c>
    </row>
    <row r="11" ht="24" customHeight="1">
      <c r="A11" s="32" t="inlineStr">
        <is>
          <t>emprendedigital.es</t>
        </is>
      </c>
      <c r="B11" s="32" t="inlineStr">
        <is>
          <t>Nuevo artículo</t>
        </is>
      </c>
      <c r="C11" s="73" t="inlineStr">
        <is>
          <t>Guía de hubs USB-C para teletrabajo 2026 (aprovecha nueva categoría de tienda)</t>
        </is>
      </c>
      <c r="D11" s="32" t="inlineStr">
        <is>
          <t>hub usb c teletrabajo, docking station</t>
        </is>
      </c>
      <c r="E11" s="32" t="inlineStr">
        <is>
          <t>🔴 Alto</t>
        </is>
      </c>
      <c r="F11" s="32" t="inlineStr">
        <is>
          <t>Alto</t>
        </is>
      </c>
      <c r="G11" s="32" t="inlineStr">
        <is>
          <t>Semana 2-3</t>
        </is>
      </c>
      <c r="H11" s="32" t="inlineStr">
        <is>
          <t>⬜ Pendiente</t>
        </is>
      </c>
    </row>
    <row r="12" ht="24" customHeight="1">
      <c r="A12" s="36" t="inlineStr">
        <is>
          <t>emprendedigital.es</t>
        </is>
      </c>
      <c r="B12" s="36" t="inlineStr">
        <is>
          <t>Contenido</t>
        </is>
      </c>
      <c r="C12" s="34" t="inlineStr">
        <is>
          <t>Actualizar artículos de portátiles y monitores con modelos 2026 y precios actualizados</t>
        </is>
      </c>
      <c r="D12" s="36" t="inlineStr">
        <is>
          <t>mejor portatil teletrabajo 2026</t>
        </is>
      </c>
      <c r="E12" s="36" t="inlineStr">
        <is>
          <t>🔴 Alto</t>
        </is>
      </c>
      <c r="F12" s="36" t="inlineStr">
        <is>
          <t>Medio</t>
        </is>
      </c>
      <c r="G12" s="36" t="inlineStr">
        <is>
          <t>Semana 1-2</t>
        </is>
      </c>
      <c r="H12" s="36" t="inlineStr">
        <is>
          <t>⬜ Pendiente</t>
        </is>
      </c>
    </row>
    <row r="13" ht="24" customHeight="1">
      <c r="A13" s="32" t="inlineStr">
        <is>
          <t>juguetestem.es</t>
        </is>
      </c>
      <c r="B13" s="32" t="inlineStr">
        <is>
          <t>Contenido estacional</t>
        </is>
      </c>
      <c r="C13" s="73" t="inlineStr">
        <is>
          <t>Preparar artículo de Navidad 2026 con juguetes STEM top — publicar en octubre para captar tráfico estacional</t>
        </is>
      </c>
      <c r="D13" s="32" t="inlineStr">
        <is>
          <t>juguetes educativos navidad 2026</t>
        </is>
      </c>
      <c r="E13" s="32" t="inlineStr">
        <is>
          <t>🔴 Alto</t>
        </is>
      </c>
      <c r="F13" s="32" t="inlineStr">
        <is>
          <t>Alto</t>
        </is>
      </c>
      <c r="G13" s="32" t="inlineStr">
        <is>
          <t>Octubre 2026</t>
        </is>
      </c>
      <c r="H13" s="32" t="inlineStr">
        <is>
          <t>⬜ Pendiente</t>
        </is>
      </c>
    </row>
    <row r="14" ht="24" customHeight="1">
      <c r="A14" s="36" t="inlineStr">
        <is>
          <t>juguetestem.es</t>
        </is>
      </c>
      <c r="B14" s="36" t="inlineStr">
        <is>
          <t>On-page</t>
        </is>
      </c>
      <c r="C14" s="34" t="inlineStr">
        <is>
          <t>Optimizar H1 y meta titles de artículos de telescopios y microscopios con año 2026</t>
        </is>
      </c>
      <c r="D14" s="36" t="inlineStr">
        <is>
          <t>telescopio niños, microscopio ninos comprar</t>
        </is>
      </c>
      <c r="E14" s="36" t="inlineStr">
        <is>
          <t>🟡 Medio</t>
        </is>
      </c>
      <c r="F14" s="36" t="inlineStr">
        <is>
          <t>Bajo</t>
        </is>
      </c>
      <c r="G14" s="36" t="inlineStr">
        <is>
          <t>Semana 1</t>
        </is>
      </c>
      <c r="H14" s="36" t="inlineStr">
        <is>
          <t>⬜ Pendiente</t>
        </is>
      </c>
    </row>
    <row r="15" ht="24" customHeight="1">
      <c r="A15" s="32" t="inlineStr">
        <is>
          <t>Todos los sitios</t>
        </is>
      </c>
      <c r="B15" s="32" t="inlineStr">
        <is>
          <t>Link building</t>
        </is>
      </c>
      <c r="C15" s="73" t="inlineStr">
        <is>
          <t>Ejecutar plan de guest posts (ver doc linkbuilding). Publicar 1 artículo invitado por sitio en 60 días</t>
        </is>
      </c>
      <c r="D15" s="32" t="inlineStr">
        <is>
          <t>Keywords top por sitio</t>
        </is>
      </c>
      <c r="E15" s="32" t="inlineStr">
        <is>
          <t>🔴 Alto</t>
        </is>
      </c>
      <c r="F15" s="32" t="inlineStr">
        <is>
          <t>Alto</t>
        </is>
      </c>
      <c r="G15" s="32" t="inlineStr">
        <is>
          <t>Mes 1-2</t>
        </is>
      </c>
      <c r="H15" s="32" t="inlineStr">
        <is>
          <t>⬜ Pendiente</t>
        </is>
      </c>
    </row>
    <row r="16" ht="24" customHeight="1">
      <c r="A16" s="36" t="inlineStr">
        <is>
          <t>Todos los sitios</t>
        </is>
      </c>
      <c r="B16" s="36" t="inlineStr">
        <is>
          <t>Technical SEO</t>
        </is>
      </c>
      <c r="C16" s="34" t="inlineStr">
        <is>
          <t>Revisar Core Web Vitals en GSC mensualmente. Investigar cualquier caída de LCP &gt; 4s</t>
        </is>
      </c>
      <c r="D16" s="36" t="inlineStr">
        <is>
          <t>Todas</t>
        </is>
      </c>
      <c r="E16" s="36" t="inlineStr">
        <is>
          <t>🟡 Medio</t>
        </is>
      </c>
      <c r="F16" s="36" t="inlineStr">
        <is>
          <t>Bajo</t>
        </is>
      </c>
      <c r="G16" s="36" t="inlineStr">
        <is>
          <t>Mensual</t>
        </is>
      </c>
      <c r="H16" s="36" t="inlineStr">
        <is>
          <t>⬜ Recurrente</t>
        </is>
      </c>
    </row>
    <row r="17" ht="24" customHeight="1">
      <c r="A17" s="32" t="inlineStr">
        <is>
          <t>Todos los sitios</t>
        </is>
      </c>
      <c r="B17" s="32" t="inlineStr">
        <is>
          <t>Schema</t>
        </is>
      </c>
      <c r="C17" s="73" t="inlineStr">
        <is>
          <t>Añadir Review schema a páginas de producto en la tienda de cada sitio</t>
        </is>
      </c>
      <c r="D17" s="32" t="inlineStr">
        <is>
          <t>Búsquedas con rich snippets</t>
        </is>
      </c>
      <c r="E17" s="32" t="inlineStr">
        <is>
          <t>🟡 Medio</t>
        </is>
      </c>
      <c r="F17" s="32" t="inlineStr">
        <is>
          <t>Medio</t>
        </is>
      </c>
      <c r="G17" s="32" t="inlineStr">
        <is>
          <t>Semana 2-3</t>
        </is>
      </c>
      <c r="H17" s="32" t="inlineStr">
        <is>
          <t>⬜ Pendiente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2026-08-15T16:09:27Z</dcterms:created>
  <dcterms:modified xmlns:dcterms="http://purl.org/dc/terms/" xmlns:xsi="http://www.w3.org/2001/XMLSchema-instance" xsi:type="dcterms:W3CDTF">2026-08-15T16:09:27Z</dcterms:modified>
</cp:coreProperties>
</file>