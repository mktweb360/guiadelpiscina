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eywords por Sitio" sheetId="2" state="visible" r:id="rId2"/>
    <sheet xmlns:r="http://schemas.openxmlformats.org/officeDocument/2006/relationships" name="Tracking Posiciones" sheetId="3" state="visible" r:id="rId3"/>
    <sheet xmlns:r="http://schemas.openxmlformats.org/officeDocument/2006/relationships" name="Hitos 30-60-90 Dias" sheetId="4" state="visible" r:id="rId4"/>
    <sheet xmlns:r="http://schemas.openxmlformats.org/officeDocument/2006/relationships" name="Protocolo de Medi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E6DA4"/>
      <sz val="10"/>
    </font>
    <font>
      <name val="Arial"/>
      <b val="1"/>
      <color rgb="00FFFFFF"/>
      <sz val="10"/>
    </font>
    <font>
      <name val="Arial"/>
      <b val="1"/>
      <color rgb="001C1C1C"/>
      <sz val="10"/>
    </font>
    <font>
      <name val="Arial"/>
      <color rgb="002E6DA4"/>
      <sz val="9"/>
    </font>
    <font>
      <name val="Arial"/>
      <b val="1"/>
      <sz val="11"/>
    </font>
    <font>
      <name val="Arial"/>
      <color rgb="001C1C1C"/>
      <sz val="10"/>
    </font>
    <font>
      <name val="Arial"/>
      <b val="1"/>
      <color rgb="00FFFFFF"/>
      <sz val="11"/>
    </font>
    <font>
      <name val="Arial"/>
      <i val="1"/>
      <color rgb="00666666"/>
      <sz val="9"/>
    </font>
    <font>
      <name val="Arial"/>
      <b val="1"/>
      <color rgb="00FFFFFF"/>
      <sz val="13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i val="1"/>
      <color rgb="00777777"/>
      <sz val="9"/>
    </font>
  </fonts>
  <fills count="13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9E6"/>
      </patternFill>
    </fill>
    <fill>
      <patternFill patternType="solid">
        <fgColor rgb="00F5F6FA"/>
      </patternFill>
    </fill>
    <fill>
      <patternFill patternType="solid">
        <fgColor rgb="002E6DA4"/>
      </patternFill>
    </fill>
    <fill>
      <patternFill patternType="solid">
        <fgColor rgb="00EAF4FB"/>
      </patternFill>
    </fill>
    <fill>
      <patternFill patternType="solid">
        <fgColor rgb="00EAFBEA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EDEC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1" fontId="7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1" fontId="0" fillId="12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164" fontId="7" fillId="10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164" fontId="7" fillId="11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8" customHeight="1"/>
    <row r="2" ht="26" customHeight="1">
      <c r="B2" s="1" t="inlineStr">
        <is>
          <t>SISTEMA DE SEGUIMIENTO DE POSICIONAMIENTO — 5 BLOGS MKT WEB 360</t>
        </is>
      </c>
    </row>
    <row r="3" ht="26" customHeight="1"/>
    <row r="4" ht="18" customHeight="1">
      <c r="B4" s="2" t="inlineStr">
        <is>
          <t>Período: Agosto 2026 → Noviembre 2026   |   Actualizado: 15/08/2026</t>
        </is>
      </c>
    </row>
    <row r="5" ht="8" customHeight="1"/>
    <row r="6" ht="32" customHeight="1">
      <c r="B6" s="3" t="inlineStr">
        <is>
          <t>Sitio web</t>
        </is>
      </c>
      <c r="C6" s="3" t="inlineStr">
        <is>
          <t>URL</t>
        </is>
      </c>
      <c r="D6" s="3" t="inlineStr">
        <is>
          <t>KWs Top10
Inicial</t>
        </is>
      </c>
      <c r="E6" s="3" t="inlineStr">
        <is>
          <t>KWs Top10
30 días</t>
        </is>
      </c>
      <c r="F6" s="3" t="inlineStr">
        <is>
          <t>KWs Top10
60 días</t>
        </is>
      </c>
      <c r="G6" s="3" t="inlineStr">
        <is>
          <t>KWs Top10
90 días</t>
        </is>
      </c>
      <c r="H6" s="3" t="inlineStr">
        <is>
          <t>Var 30d</t>
        </is>
      </c>
      <c r="I6" s="3" t="inlineStr">
        <is>
          <t>Var 60d</t>
        </is>
      </c>
      <c r="J6" s="3" t="inlineStr">
        <is>
          <t>Var 90d</t>
        </is>
      </c>
    </row>
    <row r="7" ht="20" customHeight="1">
      <c r="B7" s="4" t="inlineStr">
        <is>
          <t>Guía del Piscina</t>
        </is>
      </c>
      <c r="C7" s="5" t="inlineStr">
        <is>
          <t>guiadelpiscina.com</t>
        </is>
      </c>
      <c r="D7" s="6" t="n">
        <v>0</v>
      </c>
      <c r="E7" s="6" t="n">
        <v>0</v>
      </c>
      <c r="F7" s="6" t="n">
        <v>0</v>
      </c>
      <c r="G7" s="7">
        <f>E7-D7</f>
        <v/>
      </c>
      <c r="H7" s="7">
        <f>F7-D7</f>
        <v/>
      </c>
      <c r="I7" s="7">
        <f>G7-D7</f>
        <v/>
      </c>
    </row>
    <row r="8" ht="20" customHeight="1">
      <c r="B8" s="8" t="inlineStr">
        <is>
          <t>Cuida Tu Mascota</t>
        </is>
      </c>
      <c r="C8" s="9" t="inlineStr">
        <is>
          <t>cuidatumascota.es</t>
        </is>
      </c>
      <c r="D8" s="6" t="n">
        <v>0</v>
      </c>
      <c r="E8" s="6" t="n">
        <v>0</v>
      </c>
      <c r="F8" s="6" t="n">
        <v>0</v>
      </c>
      <c r="G8" s="10">
        <f>E8-D8</f>
        <v/>
      </c>
      <c r="H8" s="10">
        <f>F8-D8</f>
        <v/>
      </c>
      <c r="I8" s="10">
        <f>G8-D8</f>
        <v/>
      </c>
    </row>
    <row r="9" ht="20" customHeight="1">
      <c r="B9" s="4" t="inlineStr">
        <is>
          <t>Fitness Fácil</t>
        </is>
      </c>
      <c r="C9" s="5" t="inlineStr">
        <is>
          <t>fitnessfacil.es</t>
        </is>
      </c>
      <c r="D9" s="6" t="n">
        <v>0</v>
      </c>
      <c r="E9" s="6" t="n">
        <v>0</v>
      </c>
      <c r="F9" s="6" t="n">
        <v>0</v>
      </c>
      <c r="G9" s="7">
        <f>E9-D9</f>
        <v/>
      </c>
      <c r="H9" s="7">
        <f>F9-D9</f>
        <v/>
      </c>
      <c r="I9" s="7">
        <f>G9-D9</f>
        <v/>
      </c>
    </row>
    <row r="10" ht="20" customHeight="1">
      <c r="B10" s="8" t="inlineStr">
        <is>
          <t>Emprende Digital</t>
        </is>
      </c>
      <c r="C10" s="9" t="inlineStr">
        <is>
          <t>emprendedigital.es</t>
        </is>
      </c>
      <c r="D10" s="6" t="n">
        <v>0</v>
      </c>
      <c r="E10" s="6" t="n">
        <v>0</v>
      </c>
      <c r="F10" s="6" t="n">
        <v>0</v>
      </c>
      <c r="G10" s="10">
        <f>E10-D10</f>
        <v/>
      </c>
      <c r="H10" s="10">
        <f>F10-D10</f>
        <v/>
      </c>
      <c r="I10" s="10">
        <f>G10-D10</f>
        <v/>
      </c>
    </row>
    <row r="11" ht="20" customHeight="1">
      <c r="B11" s="4" t="inlineStr">
        <is>
          <t>JugueteSTEM</t>
        </is>
      </c>
      <c r="C11" s="5" t="inlineStr">
        <is>
          <t>juguetestem.es</t>
        </is>
      </c>
      <c r="D11" s="6" t="n">
        <v>0</v>
      </c>
      <c r="E11" s="6" t="n">
        <v>0</v>
      </c>
      <c r="F11" s="6" t="n">
        <v>0</v>
      </c>
      <c r="G11" s="7">
        <f>E11-D11</f>
        <v/>
      </c>
      <c r="H11" s="7">
        <f>F11-D11</f>
        <v/>
      </c>
      <c r="I11" s="7">
        <f>G11-D11</f>
        <v/>
      </c>
    </row>
    <row r="12" ht="22" customHeight="1">
      <c r="B12" s="11" t="inlineStr">
        <is>
          <t>TOTAL</t>
        </is>
      </c>
      <c r="D12" s="12">
        <f>SUM(D7:D11)</f>
        <v/>
      </c>
      <c r="E12" s="12">
        <f>SUM(E7:E11)</f>
        <v/>
      </c>
      <c r="F12" s="12">
        <f>SUM(F7:F11)</f>
        <v/>
      </c>
      <c r="G12" s="12">
        <f>SUM(G7:G11)</f>
        <v/>
      </c>
      <c r="H12" s="12">
        <f>SUM(H7:H11)</f>
        <v/>
      </c>
      <c r="I12" s="12">
        <f>SUM(I7:I11)</f>
        <v/>
      </c>
    </row>
    <row r="14">
      <c r="B14" s="13" t="inlineStr">
        <is>
          <t>Instruccion: Rellenar celdas amarillas (KWs Top10) con datos reales de Google Search Console cada 30 dias. Variaciones se calculan solas.</t>
        </is>
      </c>
    </row>
  </sheetData>
  <mergeCells count="4">
    <mergeCell ref="B2:J3"/>
    <mergeCell ref="B14:J14"/>
    <mergeCell ref="B4:J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16" customWidth="1" min="4" max="4"/>
    <col width="16" customWidth="1" min="5" max="5"/>
    <col width="40" customWidth="1" min="6" max="6"/>
  </cols>
  <sheetData>
    <row r="1" ht="8" customHeight="1"/>
    <row r="2" ht="26" customHeight="1">
      <c r="B2" s="14" t="inlineStr">
        <is>
          <t>KEYWORDS OBJETIVO — 50 KEYWORDS | 5 SITIOS (10 por sitio)</t>
        </is>
      </c>
    </row>
    <row r="3" ht="26" customHeight="1"/>
    <row r="5" ht="30" customHeight="1">
      <c r="B5" s="3" t="inlineStr">
        <is>
          <t>Sitio</t>
        </is>
      </c>
      <c r="C5" s="3" t="inlineStr">
        <is>
          <t>Keyword objetivo</t>
        </is>
      </c>
      <c r="D5" s="3" t="inlineStr">
        <is>
          <t>Tipo intención</t>
        </is>
      </c>
      <c r="E5" s="3" t="inlineStr">
        <is>
          <t>Posición inicial
(rellenar)</t>
        </is>
      </c>
      <c r="F5" s="3" t="inlineStr">
        <is>
          <t>URL de destino</t>
        </is>
      </c>
    </row>
    <row r="6" ht="16" customHeight="1">
      <c r="B6" s="15" t="inlineStr">
        <is>
          <t>Guía del Piscina</t>
        </is>
      </c>
      <c r="C6" s="16" t="inlineStr">
        <is>
          <t>cloro piscina tabletas</t>
        </is>
      </c>
      <c r="D6" s="17" t="inlineStr">
        <is>
          <t>Transaccional</t>
        </is>
      </c>
      <c r="E6" s="18" t="inlineStr"/>
      <c r="F6" s="16" t="inlineStr">
        <is>
          <t>/productos/cloro-piscina</t>
        </is>
      </c>
    </row>
    <row r="7" ht="16" customHeight="1">
      <c r="B7" s="15" t="inlineStr">
        <is>
          <t>Guía del Piscina</t>
        </is>
      </c>
      <c r="C7" s="16" t="inlineStr">
        <is>
          <t>mejor robot limpiafondos piscina</t>
        </is>
      </c>
      <c r="D7" s="17" t="inlineStr">
        <is>
          <t>Transaccional</t>
        </is>
      </c>
      <c r="E7" s="18" t="inlineStr"/>
      <c r="F7" s="16" t="inlineStr">
        <is>
          <t>/robots-limpiafondos</t>
        </is>
      </c>
    </row>
    <row r="8" ht="16" customHeight="1">
      <c r="B8" s="15" t="inlineStr">
        <is>
          <t>Guía del Piscina</t>
        </is>
      </c>
      <c r="C8" s="16" t="inlineStr">
        <is>
          <t>depuradora de arena piscina</t>
        </is>
      </c>
      <c r="D8" s="17" t="inlineStr">
        <is>
          <t>Transaccional</t>
        </is>
      </c>
      <c r="E8" s="18" t="inlineStr"/>
      <c r="F8" s="16" t="inlineStr">
        <is>
          <t>/depuradoras</t>
        </is>
      </c>
    </row>
    <row r="9" ht="16" customHeight="1">
      <c r="B9" s="15" t="inlineStr">
        <is>
          <t>Guía del Piscina</t>
        </is>
      </c>
      <c r="C9" s="16" t="inlineStr">
        <is>
          <t>clorador salino piscina</t>
        </is>
      </c>
      <c r="D9" s="17" t="inlineStr">
        <is>
          <t>Transaccional</t>
        </is>
      </c>
      <c r="E9" s="18" t="inlineStr"/>
      <c r="F9" s="16" t="inlineStr">
        <is>
          <t>/clorador-salino</t>
        </is>
      </c>
    </row>
    <row r="10" ht="16" customHeight="1">
      <c r="B10" s="15" t="inlineStr">
        <is>
          <t>Guía del Piscina</t>
        </is>
      </c>
      <c r="C10" s="16" t="inlineStr">
        <is>
          <t>mantenimiento piscina verano</t>
        </is>
      </c>
      <c r="D10" s="17" t="inlineStr">
        <is>
          <t>Informacional</t>
        </is>
      </c>
      <c r="E10" s="18" t="inlineStr"/>
      <c r="F10" s="16" t="inlineStr">
        <is>
          <t>/mantenimiento-piscina</t>
        </is>
      </c>
    </row>
    <row r="11" ht="16" customHeight="1">
      <c r="B11" s="15" t="inlineStr">
        <is>
          <t>Guía del Piscina</t>
        </is>
      </c>
      <c r="C11" s="16" t="inlineStr">
        <is>
          <t>como subir el pH de la piscina</t>
        </is>
      </c>
      <c r="D11" s="17" t="inlineStr">
        <is>
          <t>Informacional</t>
        </is>
      </c>
      <c r="E11" s="18" t="inlineStr"/>
      <c r="F11" s="16" t="inlineStr">
        <is>
          <t>/ph-piscina</t>
        </is>
      </c>
    </row>
    <row r="12" ht="16" customHeight="1">
      <c r="B12" s="15" t="inlineStr">
        <is>
          <t>Guía del Piscina</t>
        </is>
      </c>
      <c r="C12" s="16" t="inlineStr">
        <is>
          <t>piscinas desmontables grandes</t>
        </is>
      </c>
      <c r="D12" s="17" t="inlineStr">
        <is>
          <t>Transaccional</t>
        </is>
      </c>
      <c r="E12" s="18" t="inlineStr"/>
      <c r="F12" s="16" t="inlineStr">
        <is>
          <t>/piscinas-desmontables</t>
        </is>
      </c>
    </row>
    <row r="13" ht="16" customHeight="1">
      <c r="B13" s="15" t="inlineStr">
        <is>
          <t>Guía del Piscina</t>
        </is>
      </c>
      <c r="C13" s="16" t="inlineStr">
        <is>
          <t>tratamiento agua piscina verde</t>
        </is>
      </c>
      <c r="D13" s="17" t="inlineStr">
        <is>
          <t>Informacional</t>
        </is>
      </c>
      <c r="E13" s="18" t="inlineStr"/>
      <c r="F13" s="16" t="inlineStr">
        <is>
          <t>/agua-verde-piscina</t>
        </is>
      </c>
    </row>
    <row r="14" ht="16" customHeight="1">
      <c r="B14" s="15" t="inlineStr">
        <is>
          <t>Guía del Piscina</t>
        </is>
      </c>
      <c r="C14" s="16" t="inlineStr">
        <is>
          <t>termometro digital piscina</t>
        </is>
      </c>
      <c r="D14" s="17" t="inlineStr">
        <is>
          <t>Transaccional</t>
        </is>
      </c>
      <c r="E14" s="18" t="inlineStr"/>
      <c r="F14" s="16" t="inlineStr">
        <is>
          <t>/termometros</t>
        </is>
      </c>
    </row>
    <row r="15" ht="16" customHeight="1">
      <c r="B15" s="15" t="inlineStr">
        <is>
          <t>Guía del Piscina</t>
        </is>
      </c>
      <c r="C15" s="16" t="inlineStr">
        <is>
          <t>analisis agua piscina tiras</t>
        </is>
      </c>
      <c r="D15" s="17" t="inlineStr">
        <is>
          <t>Transaccional</t>
        </is>
      </c>
      <c r="E15" s="18" t="inlineStr"/>
      <c r="F15" s="16" t="inlineStr">
        <is>
          <t>/analisis-agua</t>
        </is>
      </c>
    </row>
    <row r="16" ht="16" customHeight="1">
      <c r="B16" s="19" t="inlineStr">
        <is>
          <t>Cuida Tu Mascota</t>
        </is>
      </c>
      <c r="C16" s="20" t="inlineStr">
        <is>
          <t>mejor pienso para perros adultos</t>
        </is>
      </c>
      <c r="D16" s="21" t="inlineStr">
        <is>
          <t>Transaccional</t>
        </is>
      </c>
      <c r="E16" s="18" t="inlineStr"/>
      <c r="F16" s="20" t="inlineStr">
        <is>
          <t>/piensos-perros</t>
        </is>
      </c>
    </row>
    <row r="17" ht="16" customHeight="1">
      <c r="B17" s="19" t="inlineStr">
        <is>
          <t>Cuida Tu Mascota</t>
        </is>
      </c>
      <c r="C17" s="20" t="inlineStr">
        <is>
          <t>collar antiparasitario perro</t>
        </is>
      </c>
      <c r="D17" s="21" t="inlineStr">
        <is>
          <t>Transaccional</t>
        </is>
      </c>
      <c r="E17" s="18" t="inlineStr"/>
      <c r="F17" s="20" t="inlineStr">
        <is>
          <t>/antiparasitarios</t>
        </is>
      </c>
    </row>
    <row r="18" ht="16" customHeight="1">
      <c r="B18" s="19" t="inlineStr">
        <is>
          <t>Cuida Tu Mascota</t>
        </is>
      </c>
      <c r="C18" s="20" t="inlineStr">
        <is>
          <t>transportin gato avion</t>
        </is>
      </c>
      <c r="D18" s="21" t="inlineStr">
        <is>
          <t>Transaccional</t>
        </is>
      </c>
      <c r="E18" s="18" t="inlineStr"/>
      <c r="F18" s="20" t="inlineStr">
        <is>
          <t>/transportines</t>
        </is>
      </c>
    </row>
    <row r="19" ht="16" customHeight="1">
      <c r="B19" s="19" t="inlineStr">
        <is>
          <t>Cuida Tu Mascota</t>
        </is>
      </c>
      <c r="C19" s="20" t="inlineStr">
        <is>
          <t>arena aglomerante para gatos</t>
        </is>
      </c>
      <c r="D19" s="21" t="inlineStr">
        <is>
          <t>Transaccional</t>
        </is>
      </c>
      <c r="E19" s="18" t="inlineStr"/>
      <c r="F19" s="20" t="inlineStr">
        <is>
          <t>/arena-gatos</t>
        </is>
      </c>
    </row>
    <row r="20" ht="16" customHeight="1">
      <c r="B20" s="19" t="inlineStr">
        <is>
          <t>Cuida Tu Mascota</t>
        </is>
      </c>
      <c r="C20" s="20" t="inlineStr">
        <is>
          <t>juguetes interactivos perros</t>
        </is>
      </c>
      <c r="D20" s="21" t="inlineStr">
        <is>
          <t>Transaccional</t>
        </is>
      </c>
      <c r="E20" s="18" t="inlineStr"/>
      <c r="F20" s="20" t="inlineStr">
        <is>
          <t>/juguetes-perros</t>
        </is>
      </c>
    </row>
    <row r="21" ht="16" customHeight="1">
      <c r="B21" s="19" t="inlineStr">
        <is>
          <t>Cuida Tu Mascota</t>
        </is>
      </c>
      <c r="C21" s="20" t="inlineStr">
        <is>
          <t>como adiestrar a un cachorro</t>
        </is>
      </c>
      <c r="D21" s="21" t="inlineStr">
        <is>
          <t>Informacional</t>
        </is>
      </c>
      <c r="E21" s="18" t="inlineStr"/>
      <c r="F21" s="20" t="inlineStr">
        <is>
          <t>/adiestramiento-cachorros</t>
        </is>
      </c>
    </row>
    <row r="22" ht="16" customHeight="1">
      <c r="B22" s="19" t="inlineStr">
        <is>
          <t>Cuida Tu Mascota</t>
        </is>
      </c>
      <c r="C22" s="20" t="inlineStr">
        <is>
          <t>vacunas obligatorias perros</t>
        </is>
      </c>
      <c r="D22" s="21" t="inlineStr">
        <is>
          <t>Informacional</t>
        </is>
      </c>
      <c r="E22" s="18" t="inlineStr"/>
      <c r="F22" s="20" t="inlineStr">
        <is>
          <t>/vacunas-perros</t>
        </is>
      </c>
    </row>
    <row r="23" ht="16" customHeight="1">
      <c r="B23" s="19" t="inlineStr">
        <is>
          <t>Cuida Tu Mascota</t>
        </is>
      </c>
      <c r="C23" s="20" t="inlineStr">
        <is>
          <t>mejor comida humeda gatos</t>
        </is>
      </c>
      <c r="D23" s="21" t="inlineStr">
        <is>
          <t>Transaccional</t>
        </is>
      </c>
      <c r="E23" s="18" t="inlineStr"/>
      <c r="F23" s="20" t="inlineStr">
        <is>
          <t>/comida-humeda-gatos</t>
        </is>
      </c>
    </row>
    <row r="24" ht="16" customHeight="1">
      <c r="B24" s="19" t="inlineStr">
        <is>
          <t>Cuida Tu Mascota</t>
        </is>
      </c>
      <c r="C24" s="20" t="inlineStr">
        <is>
          <t>ropa para perros pequenos</t>
        </is>
      </c>
      <c r="D24" s="21" t="inlineStr">
        <is>
          <t>Transaccional</t>
        </is>
      </c>
      <c r="E24" s="18" t="inlineStr"/>
      <c r="F24" s="20" t="inlineStr">
        <is>
          <t>/ropa-perros</t>
        </is>
      </c>
    </row>
    <row r="25" ht="16" customHeight="1">
      <c r="B25" s="19" t="inlineStr">
        <is>
          <t>Cuida Tu Mascota</t>
        </is>
      </c>
      <c r="C25" s="20" t="inlineStr">
        <is>
          <t>comedero automatico gatos</t>
        </is>
      </c>
      <c r="D25" s="21" t="inlineStr">
        <is>
          <t>Transaccional</t>
        </is>
      </c>
      <c r="E25" s="18" t="inlineStr"/>
      <c r="F25" s="20" t="inlineStr">
        <is>
          <t>/comederos-automaticos</t>
        </is>
      </c>
    </row>
    <row r="26" ht="16" customHeight="1">
      <c r="B26" s="22" t="inlineStr">
        <is>
          <t>Fitness Facil</t>
        </is>
      </c>
      <c r="C26" s="23" t="inlineStr">
        <is>
          <t>mejor maquina eliptica</t>
        </is>
      </c>
      <c r="D26" s="24" t="inlineStr">
        <is>
          <t>Transaccional</t>
        </is>
      </c>
      <c r="E26" s="18" t="inlineStr"/>
      <c r="F26" s="23" t="inlineStr">
        <is>
          <t>/elipticas</t>
        </is>
      </c>
    </row>
    <row r="27" ht="16" customHeight="1">
      <c r="B27" s="22" t="inlineStr">
        <is>
          <t>Fitness Facil</t>
        </is>
      </c>
      <c r="C27" s="23" t="inlineStr">
        <is>
          <t>bicicleta estatica plegable</t>
        </is>
      </c>
      <c r="D27" s="24" t="inlineStr">
        <is>
          <t>Transaccional</t>
        </is>
      </c>
      <c r="E27" s="18" t="inlineStr"/>
      <c r="F27" s="23" t="inlineStr">
        <is>
          <t>/bicicletas-estaticas</t>
        </is>
      </c>
    </row>
    <row r="28" ht="16" customHeight="1">
      <c r="B28" s="22" t="inlineStr">
        <is>
          <t>Fitness Facil</t>
        </is>
      </c>
      <c r="C28" s="23" t="inlineStr">
        <is>
          <t>proteina whey sin lactosa</t>
        </is>
      </c>
      <c r="D28" s="24" t="inlineStr">
        <is>
          <t>Transaccional</t>
        </is>
      </c>
      <c r="E28" s="18" t="inlineStr"/>
      <c r="F28" s="23" t="inlineStr">
        <is>
          <t>/proteinas-whey</t>
        </is>
      </c>
    </row>
    <row r="29" ht="16" customHeight="1">
      <c r="B29" s="22" t="inlineStr">
        <is>
          <t>Fitness Facil</t>
        </is>
      </c>
      <c r="C29" s="23" t="inlineStr">
        <is>
          <t>tabla HIIT en casa sin material</t>
        </is>
      </c>
      <c r="D29" s="24" t="inlineStr">
        <is>
          <t>Informacional</t>
        </is>
      </c>
      <c r="E29" s="18" t="inlineStr"/>
      <c r="F29" s="23" t="inlineStr">
        <is>
          <t>/hiit-en-casa</t>
        </is>
      </c>
    </row>
    <row r="30" ht="16" customHeight="1">
      <c r="B30" s="22" t="inlineStr">
        <is>
          <t>Fitness Facil</t>
        </is>
      </c>
      <c r="C30" s="23" t="inlineStr">
        <is>
          <t>esterilla yoga antideslizante</t>
        </is>
      </c>
      <c r="D30" s="24" t="inlineStr">
        <is>
          <t>Transaccional</t>
        </is>
      </c>
      <c r="E30" s="18" t="inlineStr"/>
      <c r="F30" s="23" t="inlineStr">
        <is>
          <t>/esterillas-yoga</t>
        </is>
      </c>
    </row>
    <row r="31" ht="16" customHeight="1">
      <c r="B31" s="22" t="inlineStr">
        <is>
          <t>Fitness Facil</t>
        </is>
      </c>
      <c r="C31" s="23" t="inlineStr">
        <is>
          <t>mancuernas ajustables 30 kg</t>
        </is>
      </c>
      <c r="D31" s="24" t="inlineStr">
        <is>
          <t>Transaccional</t>
        </is>
      </c>
      <c r="E31" s="18" t="inlineStr"/>
      <c r="F31" s="23" t="inlineStr">
        <is>
          <t>/mancuernas</t>
        </is>
      </c>
    </row>
    <row r="32" ht="16" customHeight="1">
      <c r="B32" s="22" t="inlineStr">
        <is>
          <t>Fitness Facil</t>
        </is>
      </c>
      <c r="C32" s="23" t="inlineStr">
        <is>
          <t>suplementos ganar masa muscular</t>
        </is>
      </c>
      <c r="D32" s="24" t="inlineStr">
        <is>
          <t>Transaccional</t>
        </is>
      </c>
      <c r="E32" s="18" t="inlineStr"/>
      <c r="F32" s="23" t="inlineStr">
        <is>
          <t>/suplementos</t>
        </is>
      </c>
    </row>
    <row r="33" ht="16" customHeight="1">
      <c r="B33" s="22" t="inlineStr">
        <is>
          <t>Fitness Facil</t>
        </is>
      </c>
      <c r="C33" s="23" t="inlineStr">
        <is>
          <t>banda elastica ejercicios</t>
        </is>
      </c>
      <c r="D33" s="24" t="inlineStr">
        <is>
          <t>Transaccional</t>
        </is>
      </c>
      <c r="E33" s="18" t="inlineStr"/>
      <c r="F33" s="23" t="inlineStr">
        <is>
          <t>/bandas-elasticas</t>
        </is>
      </c>
    </row>
    <row r="34" ht="16" customHeight="1">
      <c r="B34" s="22" t="inlineStr">
        <is>
          <t>Fitness Facil</t>
        </is>
      </c>
      <c r="C34" s="23" t="inlineStr">
        <is>
          <t>cinta de correr plegable</t>
        </is>
      </c>
      <c r="D34" s="24" t="inlineStr">
        <is>
          <t>Transaccional</t>
        </is>
      </c>
      <c r="E34" s="18" t="inlineStr"/>
      <c r="F34" s="23" t="inlineStr">
        <is>
          <t>/cintas-correr</t>
        </is>
      </c>
    </row>
    <row r="35" ht="16" customHeight="1">
      <c r="B35" s="22" t="inlineStr">
        <is>
          <t>Fitness Facil</t>
        </is>
      </c>
      <c r="C35" s="23" t="inlineStr">
        <is>
          <t>ejercicios para bajar la barriga</t>
        </is>
      </c>
      <c r="D35" s="24" t="inlineStr">
        <is>
          <t>Informacional</t>
        </is>
      </c>
      <c r="E35" s="18" t="inlineStr"/>
      <c r="F35" s="23" t="inlineStr">
        <is>
          <t>/bajar-barriga</t>
        </is>
      </c>
    </row>
    <row r="36" ht="16" customHeight="1">
      <c r="B36" s="25" t="inlineStr">
        <is>
          <t>Emprende Digital</t>
        </is>
      </c>
      <c r="C36" s="26" t="inlineStr">
        <is>
          <t>mejores herramientas IA empresas</t>
        </is>
      </c>
      <c r="D36" s="27" t="inlineStr">
        <is>
          <t>Transaccional</t>
        </is>
      </c>
      <c r="E36" s="18" t="inlineStr"/>
      <c r="F36" s="26" t="inlineStr">
        <is>
          <t>/herramientas-ia</t>
        </is>
      </c>
    </row>
    <row r="37" ht="16" customHeight="1">
      <c r="B37" s="25" t="inlineStr">
        <is>
          <t>Emprende Digital</t>
        </is>
      </c>
      <c r="C37" s="26" t="inlineStr">
        <is>
          <t>tablet para trabajar 2026</t>
        </is>
      </c>
      <c r="D37" s="27" t="inlineStr">
        <is>
          <t>Transaccional</t>
        </is>
      </c>
      <c r="E37" s="18" t="inlineStr"/>
      <c r="F37" s="26" t="inlineStr">
        <is>
          <t>/tablets-trabajo</t>
        </is>
      </c>
    </row>
    <row r="38" ht="16" customHeight="1">
      <c r="B38" s="25" t="inlineStr">
        <is>
          <t>Emprende Digital</t>
        </is>
      </c>
      <c r="C38" s="26" t="inlineStr">
        <is>
          <t>mejor hub USB-C para MacBook</t>
        </is>
      </c>
      <c r="D38" s="27" t="inlineStr">
        <is>
          <t>Transaccional</t>
        </is>
      </c>
      <c r="E38" s="18" t="inlineStr"/>
      <c r="F38" s="26" t="inlineStr">
        <is>
          <t>/hubs-usb</t>
        </is>
      </c>
    </row>
    <row r="39" ht="16" customHeight="1">
      <c r="B39" s="25" t="inlineStr">
        <is>
          <t>Emprende Digital</t>
        </is>
      </c>
      <c r="C39" s="26" t="inlineStr">
        <is>
          <t>herramientas email marketing</t>
        </is>
      </c>
      <c r="D39" s="27" t="inlineStr">
        <is>
          <t>Transaccional</t>
        </is>
      </c>
      <c r="E39" s="18" t="inlineStr"/>
      <c r="F39" s="26" t="inlineStr">
        <is>
          <t>/email-marketing</t>
        </is>
      </c>
    </row>
    <row r="40" ht="16" customHeight="1">
      <c r="B40" s="25" t="inlineStr">
        <is>
          <t>Emprende Digital</t>
        </is>
      </c>
      <c r="C40" s="26" t="inlineStr">
        <is>
          <t>software facturacion autonomos</t>
        </is>
      </c>
      <c r="D40" s="27" t="inlineStr">
        <is>
          <t>Transaccional</t>
        </is>
      </c>
      <c r="E40" s="18" t="inlineStr"/>
      <c r="F40" s="26" t="inlineStr">
        <is>
          <t>/software-facturacion</t>
        </is>
      </c>
    </row>
    <row r="41" ht="16" customHeight="1">
      <c r="B41" s="25" t="inlineStr">
        <is>
          <t>Emprende Digital</t>
        </is>
      </c>
      <c r="C41" s="26" t="inlineStr">
        <is>
          <t>como crear un blog rentable</t>
        </is>
      </c>
      <c r="D41" s="27" t="inlineStr">
        <is>
          <t>Informacional</t>
        </is>
      </c>
      <c r="E41" s="18" t="inlineStr"/>
      <c r="F41" s="26" t="inlineStr">
        <is>
          <t>/blog-rentable</t>
        </is>
      </c>
    </row>
    <row r="42" ht="16" customHeight="1">
      <c r="B42" s="25" t="inlineStr">
        <is>
          <t>Emprende Digital</t>
        </is>
      </c>
      <c r="C42" s="26" t="inlineStr">
        <is>
          <t>mejores apps productividad movil</t>
        </is>
      </c>
      <c r="D42" s="27" t="inlineStr">
        <is>
          <t>Transaccional</t>
        </is>
      </c>
      <c r="E42" s="18" t="inlineStr"/>
      <c r="F42" s="26" t="inlineStr">
        <is>
          <t>/apps-productividad</t>
        </is>
      </c>
    </row>
    <row r="43" ht="16" customHeight="1">
      <c r="B43" s="25" t="inlineStr">
        <is>
          <t>Emprende Digital</t>
        </is>
      </c>
      <c r="C43" s="26" t="inlineStr">
        <is>
          <t>herramientas SEO gratis</t>
        </is>
      </c>
      <c r="D43" s="27" t="inlineStr">
        <is>
          <t>Transaccional</t>
        </is>
      </c>
      <c r="E43" s="18" t="inlineStr"/>
      <c r="F43" s="26" t="inlineStr">
        <is>
          <t>/herramientas-seo</t>
        </is>
      </c>
    </row>
    <row r="44" ht="16" customHeight="1">
      <c r="B44" s="25" t="inlineStr">
        <is>
          <t>Emprende Digital</t>
        </is>
      </c>
      <c r="C44" s="26" t="inlineStr">
        <is>
          <t>alternativas ChatGPT gratis</t>
        </is>
      </c>
      <c r="D44" s="27" t="inlineStr">
        <is>
          <t>Transaccional</t>
        </is>
      </c>
      <c r="E44" s="18" t="inlineStr"/>
      <c r="F44" s="26" t="inlineStr">
        <is>
          <t>/alternativas-chatgpt</t>
        </is>
      </c>
    </row>
    <row r="45" ht="16" customHeight="1">
      <c r="B45" s="25" t="inlineStr">
        <is>
          <t>Emprende Digital</t>
        </is>
      </c>
      <c r="C45" s="26" t="inlineStr">
        <is>
          <t>curso marketing digital online</t>
        </is>
      </c>
      <c r="D45" s="27" t="inlineStr">
        <is>
          <t>Informacional</t>
        </is>
      </c>
      <c r="E45" s="18" t="inlineStr"/>
      <c r="F45" s="26" t="inlineStr">
        <is>
          <t>/cursos-marketing</t>
        </is>
      </c>
    </row>
    <row r="46" ht="16" customHeight="1">
      <c r="B46" s="28" t="inlineStr">
        <is>
          <t>JugueteSTEM</t>
        </is>
      </c>
      <c r="C46" s="29" t="inlineStr">
        <is>
          <t>juguetes educativos 8 anos</t>
        </is>
      </c>
      <c r="D46" s="30" t="inlineStr">
        <is>
          <t>Transaccional</t>
        </is>
      </c>
      <c r="E46" s="18" t="inlineStr"/>
      <c r="F46" s="29" t="inlineStr">
        <is>
          <t>/juguetes-8-anos</t>
        </is>
      </c>
    </row>
    <row r="47" ht="16" customHeight="1">
      <c r="B47" s="28" t="inlineStr">
        <is>
          <t>JugueteSTEM</t>
        </is>
      </c>
      <c r="C47" s="29" t="inlineStr">
        <is>
          <t>kit robotica ninos principiantes</t>
        </is>
      </c>
      <c r="D47" s="30" t="inlineStr">
        <is>
          <t>Transaccional</t>
        </is>
      </c>
      <c r="E47" s="18" t="inlineStr"/>
      <c r="F47" s="29" t="inlineStr">
        <is>
          <t>/kits-robotica</t>
        </is>
      </c>
    </row>
    <row r="48" ht="16" customHeight="1">
      <c r="B48" s="28" t="inlineStr">
        <is>
          <t>JugueteSTEM</t>
        </is>
      </c>
      <c r="C48" s="29" t="inlineStr">
        <is>
          <t>telescopio para ninos</t>
        </is>
      </c>
      <c r="D48" s="30" t="inlineStr">
        <is>
          <t>Transaccional</t>
        </is>
      </c>
      <c r="E48" s="18" t="inlineStr"/>
      <c r="F48" s="29" t="inlineStr">
        <is>
          <t>/telescopios</t>
        </is>
      </c>
    </row>
    <row r="49" ht="16" customHeight="1">
      <c r="B49" s="28" t="inlineStr">
        <is>
          <t>JugueteSTEM</t>
        </is>
      </c>
      <c r="C49" s="29" t="inlineStr">
        <is>
          <t>juguetes STEM ninas 10 anos</t>
        </is>
      </c>
      <c r="D49" s="30" t="inlineStr">
        <is>
          <t>Transaccional</t>
        </is>
      </c>
      <c r="E49" s="18" t="inlineStr"/>
      <c r="F49" s="29" t="inlineStr">
        <is>
          <t>/juguetes-stem-ninas</t>
        </is>
      </c>
    </row>
    <row r="50" ht="16" customHeight="1">
      <c r="B50" s="28" t="inlineStr">
        <is>
          <t>JugueteSTEM</t>
        </is>
      </c>
      <c r="C50" s="29" t="inlineStr">
        <is>
          <t>microscopio educativo infantil</t>
        </is>
      </c>
      <c r="D50" s="30" t="inlineStr">
        <is>
          <t>Transaccional</t>
        </is>
      </c>
      <c r="E50" s="18" t="inlineStr"/>
      <c r="F50" s="29" t="inlineStr">
        <is>
          <t>/microscopios</t>
        </is>
      </c>
    </row>
    <row r="51" ht="16" customHeight="1">
      <c r="B51" s="28" t="inlineStr">
        <is>
          <t>JugueteSTEM</t>
        </is>
      </c>
      <c r="C51" s="29" t="inlineStr">
        <is>
          <t>tablet educativa ninos 6 anos</t>
        </is>
      </c>
      <c r="D51" s="30" t="inlineStr">
        <is>
          <t>Transaccional</t>
        </is>
      </c>
      <c r="E51" s="18" t="inlineStr"/>
      <c r="F51" s="29" t="inlineStr">
        <is>
          <t>/tablets-educativas</t>
        </is>
      </c>
    </row>
    <row r="52" ht="16" customHeight="1">
      <c r="B52" s="28" t="inlineStr">
        <is>
          <t>JugueteSTEM</t>
        </is>
      </c>
      <c r="C52" s="29" t="inlineStr">
        <is>
          <t>juegos de matematicas para ninos</t>
        </is>
      </c>
      <c r="D52" s="30" t="inlineStr">
        <is>
          <t>Informacional</t>
        </is>
      </c>
      <c r="E52" s="18" t="inlineStr"/>
      <c r="F52" s="29" t="inlineStr">
        <is>
          <t>/juegos-matematicas</t>
        </is>
      </c>
    </row>
    <row r="53" ht="16" customHeight="1">
      <c r="B53" s="28" t="inlineStr">
        <is>
          <t>JugueteSTEM</t>
        </is>
      </c>
      <c r="C53" s="29" t="inlineStr">
        <is>
          <t>kit electronica ninos arduino</t>
        </is>
      </c>
      <c r="D53" s="30" t="inlineStr">
        <is>
          <t>Transaccional</t>
        </is>
      </c>
      <c r="E53" s="18" t="inlineStr"/>
      <c r="F53" s="29" t="inlineStr">
        <is>
          <t>/kits-electronica</t>
        </is>
      </c>
    </row>
    <row r="54" ht="16" customHeight="1">
      <c r="B54" s="28" t="inlineStr">
        <is>
          <t>JugueteSTEM</t>
        </is>
      </c>
      <c r="C54" s="29" t="inlineStr">
        <is>
          <t>juguetes Montessori 3 anos</t>
        </is>
      </c>
      <c r="D54" s="30" t="inlineStr">
        <is>
          <t>Transaccional</t>
        </is>
      </c>
      <c r="E54" s="18" t="inlineStr"/>
      <c r="F54" s="29" t="inlineStr">
        <is>
          <t>/montessori</t>
        </is>
      </c>
    </row>
    <row r="55" ht="16" customHeight="1">
      <c r="B55" s="28" t="inlineStr">
        <is>
          <t>JugueteSTEM</t>
        </is>
      </c>
      <c r="C55" s="29" t="inlineStr">
        <is>
          <t>experimentos ciencia ninos</t>
        </is>
      </c>
      <c r="D55" s="30" t="inlineStr">
        <is>
          <t>Transaccional</t>
        </is>
      </c>
      <c r="E55" s="18" t="inlineStr"/>
      <c r="F55" s="29" t="inlineStr">
        <is>
          <t>/experimentos-ciencia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R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6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2" customWidth="1" min="18" max="18"/>
  </cols>
  <sheetData>
    <row r="1" ht="8" customHeight="1"/>
    <row r="2" ht="24" customHeight="1">
      <c r="B2" s="31" t="inlineStr">
        <is>
          <t>TRACKING SEMANAL DE POSICIONES — RELLENAR CADA LUNES DESDE GSC</t>
        </is>
      </c>
    </row>
    <row r="3" ht="24" customHeight="1"/>
    <row r="5" ht="36" customHeight="1">
      <c r="B5" s="3" t="inlineStr">
        <is>
          <t>Sitio</t>
        </is>
      </c>
      <c r="C5" s="3" t="inlineStr">
        <is>
          <t>Keyword</t>
        </is>
      </c>
      <c r="D5" s="3" t="inlineStr">
        <is>
          <t>S34
18/08</t>
        </is>
      </c>
      <c r="E5" s="3" t="inlineStr">
        <is>
          <t>S35
25/08</t>
        </is>
      </c>
      <c r="F5" s="3" t="inlineStr">
        <is>
          <t>S36
01/09</t>
        </is>
      </c>
      <c r="G5" s="3" t="inlineStr">
        <is>
          <t>S37
08/09</t>
        </is>
      </c>
      <c r="H5" s="3" t="inlineStr">
        <is>
          <t>S38
15/09</t>
        </is>
      </c>
      <c r="I5" s="3" t="inlineStr">
        <is>
          <t>S39
22/09</t>
        </is>
      </c>
      <c r="J5" s="3" t="inlineStr">
        <is>
          <t>S40
29/09</t>
        </is>
      </c>
      <c r="K5" s="3" t="inlineStr">
        <is>
          <t>S41
06/10</t>
        </is>
      </c>
      <c r="L5" s="3" t="inlineStr">
        <is>
          <t>S42
13/10</t>
        </is>
      </c>
      <c r="M5" s="3" t="inlineStr">
        <is>
          <t>S43
20/10</t>
        </is>
      </c>
      <c r="N5" s="3" t="inlineStr">
        <is>
          <t>S44
27/10</t>
        </is>
      </c>
      <c r="O5" s="3" t="inlineStr">
        <is>
          <t>S45
03/11</t>
        </is>
      </c>
      <c r="P5" s="3" t="inlineStr">
        <is>
          <t>S46
10/11</t>
        </is>
      </c>
      <c r="Q5" s="3" t="inlineStr">
        <is>
          <t>Mejora
total</t>
        </is>
      </c>
      <c r="R5" s="3" t="inlineStr">
        <is>
          <t>Tendencia</t>
        </is>
      </c>
    </row>
    <row r="6" ht="15" customHeight="1">
      <c r="B6" s="32" t="inlineStr">
        <is>
          <t>Guía del Piscina</t>
        </is>
      </c>
      <c r="C6" s="33" t="inlineStr">
        <is>
          <t>cloro piscina tabletas</t>
        </is>
      </c>
      <c r="D6" s="34" t="inlineStr"/>
      <c r="E6" s="34" t="inlineStr"/>
      <c r="F6" s="34" t="inlineStr"/>
      <c r="G6" s="34" t="inlineStr"/>
      <c r="H6" s="34" t="inlineStr"/>
      <c r="I6" s="34" t="inlineStr"/>
      <c r="J6" s="34" t="inlineStr"/>
      <c r="K6" s="34" t="inlineStr"/>
      <c r="L6" s="34" t="inlineStr"/>
      <c r="M6" s="34" t="inlineStr"/>
      <c r="N6" s="34" t="inlineStr"/>
      <c r="O6" s="34" t="inlineStr"/>
      <c r="P6" s="34" t="inlineStr"/>
      <c r="Q6" s="35">
        <f>IF(AND(D6&lt;&gt;"",P6&lt;&gt;""),D6-P6,"")</f>
        <v/>
      </c>
      <c r="R6" s="17">
        <f>IF(Q6="","",IF(Q6&gt;0,"Mejora",IF(Q6&lt;0,"Baja","Estable")))</f>
        <v/>
      </c>
    </row>
    <row r="7" ht="15" customHeight="1">
      <c r="B7" s="32" t="inlineStr">
        <is>
          <t>Guía del Piscina</t>
        </is>
      </c>
      <c r="C7" s="33" t="inlineStr">
        <is>
          <t>mejor robot limpiafondos piscina</t>
        </is>
      </c>
      <c r="D7" s="34" t="inlineStr"/>
      <c r="E7" s="34" t="inlineStr"/>
      <c r="F7" s="34" t="inlineStr"/>
      <c r="G7" s="34" t="inlineStr"/>
      <c r="H7" s="34" t="inlineStr"/>
      <c r="I7" s="34" t="inlineStr"/>
      <c r="J7" s="34" t="inlineStr"/>
      <c r="K7" s="34" t="inlineStr"/>
      <c r="L7" s="34" t="inlineStr"/>
      <c r="M7" s="34" t="inlineStr"/>
      <c r="N7" s="34" t="inlineStr"/>
      <c r="O7" s="34" t="inlineStr"/>
      <c r="P7" s="34" t="inlineStr"/>
      <c r="Q7" s="35">
        <f>IF(AND(D7&lt;&gt;"",P7&lt;&gt;""),D7-P7,"")</f>
        <v/>
      </c>
      <c r="R7" s="17">
        <f>IF(Q7="","",IF(Q7&gt;0,"Mejora",IF(Q7&lt;0,"Baja","Estable")))</f>
        <v/>
      </c>
    </row>
    <row r="8" ht="15" customHeight="1">
      <c r="B8" s="32" t="inlineStr">
        <is>
          <t>Guía del Piscina</t>
        </is>
      </c>
      <c r="C8" s="33" t="inlineStr">
        <is>
          <t>depuradora de arena piscina</t>
        </is>
      </c>
      <c r="D8" s="34" t="inlineStr"/>
      <c r="E8" s="34" t="inlineStr"/>
      <c r="F8" s="34" t="inlineStr"/>
      <c r="G8" s="34" t="inlineStr"/>
      <c r="H8" s="34" t="inlineStr"/>
      <c r="I8" s="34" t="inlineStr"/>
      <c r="J8" s="34" t="inlineStr"/>
      <c r="K8" s="34" t="inlineStr"/>
      <c r="L8" s="34" t="inlineStr"/>
      <c r="M8" s="34" t="inlineStr"/>
      <c r="N8" s="34" t="inlineStr"/>
      <c r="O8" s="34" t="inlineStr"/>
      <c r="P8" s="34" t="inlineStr"/>
      <c r="Q8" s="35">
        <f>IF(AND(D8&lt;&gt;"",P8&lt;&gt;""),D8-P8,"")</f>
        <v/>
      </c>
      <c r="R8" s="17">
        <f>IF(Q8="","",IF(Q8&gt;0,"Mejora",IF(Q8&lt;0,"Baja","Estable")))</f>
        <v/>
      </c>
    </row>
    <row r="9" ht="15" customHeight="1">
      <c r="B9" s="32" t="inlineStr">
        <is>
          <t>Guía del Piscina</t>
        </is>
      </c>
      <c r="C9" s="33" t="inlineStr">
        <is>
          <t>clorador salino piscina</t>
        </is>
      </c>
      <c r="D9" s="34" t="inlineStr"/>
      <c r="E9" s="34" t="inlineStr"/>
      <c r="F9" s="34" t="inlineStr"/>
      <c r="G9" s="34" t="inlineStr"/>
      <c r="H9" s="34" t="inlineStr"/>
      <c r="I9" s="34" t="inlineStr"/>
      <c r="J9" s="34" t="inlineStr"/>
      <c r="K9" s="34" t="inlineStr"/>
      <c r="L9" s="34" t="inlineStr"/>
      <c r="M9" s="34" t="inlineStr"/>
      <c r="N9" s="34" t="inlineStr"/>
      <c r="O9" s="34" t="inlineStr"/>
      <c r="P9" s="34" t="inlineStr"/>
      <c r="Q9" s="35">
        <f>IF(AND(D9&lt;&gt;"",P9&lt;&gt;""),D9-P9,"")</f>
        <v/>
      </c>
      <c r="R9" s="17">
        <f>IF(Q9="","",IF(Q9&gt;0,"Mejora",IF(Q9&lt;0,"Baja","Estable")))</f>
        <v/>
      </c>
    </row>
    <row r="10" ht="15" customHeight="1">
      <c r="B10" s="32" t="inlineStr">
        <is>
          <t>Guía del Piscina</t>
        </is>
      </c>
      <c r="C10" s="33" t="inlineStr">
        <is>
          <t>mantenimiento piscina verano</t>
        </is>
      </c>
      <c r="D10" s="34" t="inlineStr"/>
      <c r="E10" s="34" t="inlineStr"/>
      <c r="F10" s="34" t="inlineStr"/>
      <c r="G10" s="34" t="inlineStr"/>
      <c r="H10" s="34" t="inlineStr"/>
      <c r="I10" s="34" t="inlineStr"/>
      <c r="J10" s="34" t="inlineStr"/>
      <c r="K10" s="34" t="inlineStr"/>
      <c r="L10" s="34" t="inlineStr"/>
      <c r="M10" s="34" t="inlineStr"/>
      <c r="N10" s="34" t="inlineStr"/>
      <c r="O10" s="34" t="inlineStr"/>
      <c r="P10" s="34" t="inlineStr"/>
      <c r="Q10" s="35">
        <f>IF(AND(D10&lt;&gt;"",P10&lt;&gt;""),D10-P10,"")</f>
        <v/>
      </c>
      <c r="R10" s="17">
        <f>IF(Q10="","",IF(Q10&gt;0,"Mejora",IF(Q10&lt;0,"Baja","Estable")))</f>
        <v/>
      </c>
    </row>
    <row r="11" ht="15" customHeight="1">
      <c r="B11" s="32" t="inlineStr">
        <is>
          <t>Guía del Piscina</t>
        </is>
      </c>
      <c r="C11" s="33" t="inlineStr">
        <is>
          <t>como subir el pH de la piscina</t>
        </is>
      </c>
      <c r="D11" s="34" t="inlineStr"/>
      <c r="E11" s="34" t="inlineStr"/>
      <c r="F11" s="34" t="inlineStr"/>
      <c r="G11" s="34" t="inlineStr"/>
      <c r="H11" s="34" t="inlineStr"/>
      <c r="I11" s="34" t="inlineStr"/>
      <c r="J11" s="34" t="inlineStr"/>
      <c r="K11" s="34" t="inlineStr"/>
      <c r="L11" s="34" t="inlineStr"/>
      <c r="M11" s="34" t="inlineStr"/>
      <c r="N11" s="34" t="inlineStr"/>
      <c r="O11" s="34" t="inlineStr"/>
      <c r="P11" s="34" t="inlineStr"/>
      <c r="Q11" s="35">
        <f>IF(AND(D11&lt;&gt;"",P11&lt;&gt;""),D11-P11,"")</f>
        <v/>
      </c>
      <c r="R11" s="17">
        <f>IF(Q11="","",IF(Q11&gt;0,"Mejora",IF(Q11&lt;0,"Baja","Estable")))</f>
        <v/>
      </c>
    </row>
    <row r="12" ht="15" customHeight="1">
      <c r="B12" s="32" t="inlineStr">
        <is>
          <t>Guía del Piscina</t>
        </is>
      </c>
      <c r="C12" s="33" t="inlineStr">
        <is>
          <t>piscinas desmontables grandes</t>
        </is>
      </c>
      <c r="D12" s="34" t="inlineStr"/>
      <c r="E12" s="34" t="inlineStr"/>
      <c r="F12" s="34" t="inlineStr"/>
      <c r="G12" s="34" t="inlineStr"/>
      <c r="H12" s="34" t="inlineStr"/>
      <c r="I12" s="34" t="inlineStr"/>
      <c r="J12" s="34" t="inlineStr"/>
      <c r="K12" s="34" t="inlineStr"/>
      <c r="L12" s="34" t="inlineStr"/>
      <c r="M12" s="34" t="inlineStr"/>
      <c r="N12" s="34" t="inlineStr"/>
      <c r="O12" s="34" t="inlineStr"/>
      <c r="P12" s="34" t="inlineStr"/>
      <c r="Q12" s="35">
        <f>IF(AND(D12&lt;&gt;"",P12&lt;&gt;""),D12-P12,"")</f>
        <v/>
      </c>
      <c r="R12" s="17">
        <f>IF(Q12="","",IF(Q12&gt;0,"Mejora",IF(Q12&lt;0,"Baja","Estable")))</f>
        <v/>
      </c>
    </row>
    <row r="13" ht="15" customHeight="1">
      <c r="B13" s="32" t="inlineStr">
        <is>
          <t>Guía del Piscina</t>
        </is>
      </c>
      <c r="C13" s="33" t="inlineStr">
        <is>
          <t>tratamiento agua piscina verde</t>
        </is>
      </c>
      <c r="D13" s="34" t="inlineStr"/>
      <c r="E13" s="34" t="inlineStr"/>
      <c r="F13" s="34" t="inlineStr"/>
      <c r="G13" s="34" t="inlineStr"/>
      <c r="H13" s="34" t="inlineStr"/>
      <c r="I13" s="34" t="inlineStr"/>
      <c r="J13" s="34" t="inlineStr"/>
      <c r="K13" s="34" t="inlineStr"/>
      <c r="L13" s="34" t="inlineStr"/>
      <c r="M13" s="34" t="inlineStr"/>
      <c r="N13" s="34" t="inlineStr"/>
      <c r="O13" s="34" t="inlineStr"/>
      <c r="P13" s="34" t="inlineStr"/>
      <c r="Q13" s="35">
        <f>IF(AND(D13&lt;&gt;"",P13&lt;&gt;""),D13-P13,"")</f>
        <v/>
      </c>
      <c r="R13" s="17">
        <f>IF(Q13="","",IF(Q13&gt;0,"Mejora",IF(Q13&lt;0,"Baja","Estable")))</f>
        <v/>
      </c>
    </row>
    <row r="14" ht="15" customHeight="1">
      <c r="B14" s="32" t="inlineStr">
        <is>
          <t>Guía del Piscina</t>
        </is>
      </c>
      <c r="C14" s="33" t="inlineStr">
        <is>
          <t>termometro digital piscina</t>
        </is>
      </c>
      <c r="D14" s="34" t="inlineStr"/>
      <c r="E14" s="34" t="inlineStr"/>
      <c r="F14" s="34" t="inlineStr"/>
      <c r="G14" s="34" t="inlineStr"/>
      <c r="H14" s="34" t="inlineStr"/>
      <c r="I14" s="34" t="inlineStr"/>
      <c r="J14" s="34" t="inlineStr"/>
      <c r="K14" s="34" t="inlineStr"/>
      <c r="L14" s="34" t="inlineStr"/>
      <c r="M14" s="34" t="inlineStr"/>
      <c r="N14" s="34" t="inlineStr"/>
      <c r="O14" s="34" t="inlineStr"/>
      <c r="P14" s="34" t="inlineStr"/>
      <c r="Q14" s="35">
        <f>IF(AND(D14&lt;&gt;"",P14&lt;&gt;""),D14-P14,"")</f>
        <v/>
      </c>
      <c r="R14" s="17">
        <f>IF(Q14="","",IF(Q14&gt;0,"Mejora",IF(Q14&lt;0,"Baja","Estable")))</f>
        <v/>
      </c>
    </row>
    <row r="15" ht="15" customHeight="1">
      <c r="B15" s="32" t="inlineStr">
        <is>
          <t>Guía del Piscina</t>
        </is>
      </c>
      <c r="C15" s="33" t="inlineStr">
        <is>
          <t>analisis agua piscina tiras</t>
        </is>
      </c>
      <c r="D15" s="34" t="inlineStr"/>
      <c r="E15" s="34" t="inlineStr"/>
      <c r="F15" s="34" t="inlineStr"/>
      <c r="G15" s="34" t="inlineStr"/>
      <c r="H15" s="34" t="inlineStr"/>
      <c r="I15" s="34" t="inlineStr"/>
      <c r="J15" s="34" t="inlineStr"/>
      <c r="K15" s="34" t="inlineStr"/>
      <c r="L15" s="34" t="inlineStr"/>
      <c r="M15" s="34" t="inlineStr"/>
      <c r="N15" s="34" t="inlineStr"/>
      <c r="O15" s="34" t="inlineStr"/>
      <c r="P15" s="34" t="inlineStr"/>
      <c r="Q15" s="35">
        <f>IF(AND(D15&lt;&gt;"",P15&lt;&gt;""),D15-P15,"")</f>
        <v/>
      </c>
      <c r="R15" s="17">
        <f>IF(Q15="","",IF(Q15&gt;0,"Mejora",IF(Q15&lt;0,"Baja","Estable")))</f>
        <v/>
      </c>
    </row>
    <row r="16" ht="15" customHeight="1">
      <c r="B16" s="36" t="inlineStr">
        <is>
          <t>Cuida Tu Mascota</t>
        </is>
      </c>
      <c r="C16" s="37" t="inlineStr">
        <is>
          <t>mejor pienso para perros adultos</t>
        </is>
      </c>
      <c r="D16" s="34" t="inlineStr"/>
      <c r="E16" s="34" t="inlineStr"/>
      <c r="F16" s="34" t="inlineStr"/>
      <c r="G16" s="34" t="inlineStr"/>
      <c r="H16" s="34" t="inlineStr"/>
      <c r="I16" s="34" t="inlineStr"/>
      <c r="J16" s="34" t="inlineStr"/>
      <c r="K16" s="34" t="inlineStr"/>
      <c r="L16" s="34" t="inlineStr"/>
      <c r="M16" s="34" t="inlineStr"/>
      <c r="N16" s="34" t="inlineStr"/>
      <c r="O16" s="34" t="inlineStr"/>
      <c r="P16" s="34" t="inlineStr"/>
      <c r="Q16" s="38">
        <f>IF(AND(D16&lt;&gt;"",P16&lt;&gt;""),D16-P16,"")</f>
        <v/>
      </c>
      <c r="R16" s="21">
        <f>IF(Q16="","",IF(Q16&gt;0,"Mejora",IF(Q16&lt;0,"Baja","Estable")))</f>
        <v/>
      </c>
    </row>
    <row r="17" ht="15" customHeight="1">
      <c r="B17" s="36" t="inlineStr">
        <is>
          <t>Cuida Tu Mascota</t>
        </is>
      </c>
      <c r="C17" s="37" t="inlineStr">
        <is>
          <t>collar antiparasitario perro</t>
        </is>
      </c>
      <c r="D17" s="34" t="inlineStr"/>
      <c r="E17" s="34" t="inlineStr"/>
      <c r="F17" s="34" t="inlineStr"/>
      <c r="G17" s="34" t="inlineStr"/>
      <c r="H17" s="34" t="inlineStr"/>
      <c r="I17" s="34" t="inlineStr"/>
      <c r="J17" s="34" t="inlineStr"/>
      <c r="K17" s="34" t="inlineStr"/>
      <c r="L17" s="34" t="inlineStr"/>
      <c r="M17" s="34" t="inlineStr"/>
      <c r="N17" s="34" t="inlineStr"/>
      <c r="O17" s="34" t="inlineStr"/>
      <c r="P17" s="34" t="inlineStr"/>
      <c r="Q17" s="38">
        <f>IF(AND(D17&lt;&gt;"",P17&lt;&gt;""),D17-P17,"")</f>
        <v/>
      </c>
      <c r="R17" s="21">
        <f>IF(Q17="","",IF(Q17&gt;0,"Mejora",IF(Q17&lt;0,"Baja","Estable")))</f>
        <v/>
      </c>
    </row>
    <row r="18" ht="15" customHeight="1">
      <c r="B18" s="36" t="inlineStr">
        <is>
          <t>Cuida Tu Mascota</t>
        </is>
      </c>
      <c r="C18" s="37" t="inlineStr">
        <is>
          <t>transportin gato avion</t>
        </is>
      </c>
      <c r="D18" s="34" t="inlineStr"/>
      <c r="E18" s="34" t="inlineStr"/>
      <c r="F18" s="34" t="inlineStr"/>
      <c r="G18" s="34" t="inlineStr"/>
      <c r="H18" s="34" t="inlineStr"/>
      <c r="I18" s="34" t="inlineStr"/>
      <c r="J18" s="34" t="inlineStr"/>
      <c r="K18" s="34" t="inlineStr"/>
      <c r="L18" s="34" t="inlineStr"/>
      <c r="M18" s="34" t="inlineStr"/>
      <c r="N18" s="34" t="inlineStr"/>
      <c r="O18" s="34" t="inlineStr"/>
      <c r="P18" s="34" t="inlineStr"/>
      <c r="Q18" s="38">
        <f>IF(AND(D18&lt;&gt;"",P18&lt;&gt;""),D18-P18,"")</f>
        <v/>
      </c>
      <c r="R18" s="21">
        <f>IF(Q18="","",IF(Q18&gt;0,"Mejora",IF(Q18&lt;0,"Baja","Estable")))</f>
        <v/>
      </c>
    </row>
    <row r="19" ht="15" customHeight="1">
      <c r="B19" s="36" t="inlineStr">
        <is>
          <t>Cuida Tu Mascota</t>
        </is>
      </c>
      <c r="C19" s="37" t="inlineStr">
        <is>
          <t>arena aglomerante para gatos</t>
        </is>
      </c>
      <c r="D19" s="34" t="inlineStr"/>
      <c r="E19" s="34" t="inlineStr"/>
      <c r="F19" s="34" t="inlineStr"/>
      <c r="G19" s="34" t="inlineStr"/>
      <c r="H19" s="34" t="inlineStr"/>
      <c r="I19" s="34" t="inlineStr"/>
      <c r="J19" s="34" t="inlineStr"/>
      <c r="K19" s="34" t="inlineStr"/>
      <c r="L19" s="34" t="inlineStr"/>
      <c r="M19" s="34" t="inlineStr"/>
      <c r="N19" s="34" t="inlineStr"/>
      <c r="O19" s="34" t="inlineStr"/>
      <c r="P19" s="34" t="inlineStr"/>
      <c r="Q19" s="38">
        <f>IF(AND(D19&lt;&gt;"",P19&lt;&gt;""),D19-P19,"")</f>
        <v/>
      </c>
      <c r="R19" s="21">
        <f>IF(Q19="","",IF(Q19&gt;0,"Mejora",IF(Q19&lt;0,"Baja","Estable")))</f>
        <v/>
      </c>
    </row>
    <row r="20" ht="15" customHeight="1">
      <c r="B20" s="36" t="inlineStr">
        <is>
          <t>Cuida Tu Mascota</t>
        </is>
      </c>
      <c r="C20" s="37" t="inlineStr">
        <is>
          <t>juguetes interactivos perros</t>
        </is>
      </c>
      <c r="D20" s="34" t="inlineStr"/>
      <c r="E20" s="34" t="inlineStr"/>
      <c r="F20" s="34" t="inlineStr"/>
      <c r="G20" s="34" t="inlineStr"/>
      <c r="H20" s="34" t="inlineStr"/>
      <c r="I20" s="34" t="inlineStr"/>
      <c r="J20" s="34" t="inlineStr"/>
      <c r="K20" s="34" t="inlineStr"/>
      <c r="L20" s="34" t="inlineStr"/>
      <c r="M20" s="34" t="inlineStr"/>
      <c r="N20" s="34" t="inlineStr"/>
      <c r="O20" s="34" t="inlineStr"/>
      <c r="P20" s="34" t="inlineStr"/>
      <c r="Q20" s="38">
        <f>IF(AND(D20&lt;&gt;"",P20&lt;&gt;""),D20-P20,"")</f>
        <v/>
      </c>
      <c r="R20" s="21">
        <f>IF(Q20="","",IF(Q20&gt;0,"Mejora",IF(Q20&lt;0,"Baja","Estable")))</f>
        <v/>
      </c>
    </row>
    <row r="21" ht="15" customHeight="1">
      <c r="B21" s="36" t="inlineStr">
        <is>
          <t>Cuida Tu Mascota</t>
        </is>
      </c>
      <c r="C21" s="37" t="inlineStr">
        <is>
          <t>como adiestrar a un cachorro</t>
        </is>
      </c>
      <c r="D21" s="34" t="inlineStr"/>
      <c r="E21" s="34" t="inlineStr"/>
      <c r="F21" s="34" t="inlineStr"/>
      <c r="G21" s="34" t="inlineStr"/>
      <c r="H21" s="34" t="inlineStr"/>
      <c r="I21" s="34" t="inlineStr"/>
      <c r="J21" s="34" t="inlineStr"/>
      <c r="K21" s="34" t="inlineStr"/>
      <c r="L21" s="34" t="inlineStr"/>
      <c r="M21" s="34" t="inlineStr"/>
      <c r="N21" s="34" t="inlineStr"/>
      <c r="O21" s="34" t="inlineStr"/>
      <c r="P21" s="34" t="inlineStr"/>
      <c r="Q21" s="38">
        <f>IF(AND(D21&lt;&gt;"",P21&lt;&gt;""),D21-P21,"")</f>
        <v/>
      </c>
      <c r="R21" s="21">
        <f>IF(Q21="","",IF(Q21&gt;0,"Mejora",IF(Q21&lt;0,"Baja","Estable")))</f>
        <v/>
      </c>
    </row>
    <row r="22" ht="15" customHeight="1">
      <c r="B22" s="36" t="inlineStr">
        <is>
          <t>Cuida Tu Mascota</t>
        </is>
      </c>
      <c r="C22" s="37" t="inlineStr">
        <is>
          <t>vacunas obligatorias perros</t>
        </is>
      </c>
      <c r="D22" s="34" t="inlineStr"/>
      <c r="E22" s="34" t="inlineStr"/>
      <c r="F22" s="34" t="inlineStr"/>
      <c r="G22" s="34" t="inlineStr"/>
      <c r="H22" s="34" t="inlineStr"/>
      <c r="I22" s="34" t="inlineStr"/>
      <c r="J22" s="34" t="inlineStr"/>
      <c r="K22" s="34" t="inlineStr"/>
      <c r="L22" s="34" t="inlineStr"/>
      <c r="M22" s="34" t="inlineStr"/>
      <c r="N22" s="34" t="inlineStr"/>
      <c r="O22" s="34" t="inlineStr"/>
      <c r="P22" s="34" t="inlineStr"/>
      <c r="Q22" s="38">
        <f>IF(AND(D22&lt;&gt;"",P22&lt;&gt;""),D22-P22,"")</f>
        <v/>
      </c>
      <c r="R22" s="21">
        <f>IF(Q22="","",IF(Q22&gt;0,"Mejora",IF(Q22&lt;0,"Baja","Estable")))</f>
        <v/>
      </c>
    </row>
    <row r="23" ht="15" customHeight="1">
      <c r="B23" s="36" t="inlineStr">
        <is>
          <t>Cuida Tu Mascota</t>
        </is>
      </c>
      <c r="C23" s="37" t="inlineStr">
        <is>
          <t>mejor comida humeda gatos</t>
        </is>
      </c>
      <c r="D23" s="34" t="inlineStr"/>
      <c r="E23" s="34" t="inlineStr"/>
      <c r="F23" s="34" t="inlineStr"/>
      <c r="G23" s="34" t="inlineStr"/>
      <c r="H23" s="34" t="inlineStr"/>
      <c r="I23" s="34" t="inlineStr"/>
      <c r="J23" s="34" t="inlineStr"/>
      <c r="K23" s="34" t="inlineStr"/>
      <c r="L23" s="34" t="inlineStr"/>
      <c r="M23" s="34" t="inlineStr"/>
      <c r="N23" s="34" t="inlineStr"/>
      <c r="O23" s="34" t="inlineStr"/>
      <c r="P23" s="34" t="inlineStr"/>
      <c r="Q23" s="38">
        <f>IF(AND(D23&lt;&gt;"",P23&lt;&gt;""),D23-P23,"")</f>
        <v/>
      </c>
      <c r="R23" s="21">
        <f>IF(Q23="","",IF(Q23&gt;0,"Mejora",IF(Q23&lt;0,"Baja","Estable")))</f>
        <v/>
      </c>
    </row>
    <row r="24" ht="15" customHeight="1">
      <c r="B24" s="36" t="inlineStr">
        <is>
          <t>Cuida Tu Mascota</t>
        </is>
      </c>
      <c r="C24" s="37" t="inlineStr">
        <is>
          <t>ropa para perros pequenos</t>
        </is>
      </c>
      <c r="D24" s="34" t="inlineStr"/>
      <c r="E24" s="34" t="inlineStr"/>
      <c r="F24" s="34" t="inlineStr"/>
      <c r="G24" s="34" t="inlineStr"/>
      <c r="H24" s="34" t="inlineStr"/>
      <c r="I24" s="34" t="inlineStr"/>
      <c r="J24" s="34" t="inlineStr"/>
      <c r="K24" s="34" t="inlineStr"/>
      <c r="L24" s="34" t="inlineStr"/>
      <c r="M24" s="34" t="inlineStr"/>
      <c r="N24" s="34" t="inlineStr"/>
      <c r="O24" s="34" t="inlineStr"/>
      <c r="P24" s="34" t="inlineStr"/>
      <c r="Q24" s="38">
        <f>IF(AND(D24&lt;&gt;"",P24&lt;&gt;""),D24-P24,"")</f>
        <v/>
      </c>
      <c r="R24" s="21">
        <f>IF(Q24="","",IF(Q24&gt;0,"Mejora",IF(Q24&lt;0,"Baja","Estable")))</f>
        <v/>
      </c>
    </row>
    <row r="25" ht="15" customHeight="1">
      <c r="B25" s="36" t="inlineStr">
        <is>
          <t>Cuida Tu Mascota</t>
        </is>
      </c>
      <c r="C25" s="37" t="inlineStr">
        <is>
          <t>comedero automatico gatos</t>
        </is>
      </c>
      <c r="D25" s="34" t="inlineStr"/>
      <c r="E25" s="34" t="inlineStr"/>
      <c r="F25" s="34" t="inlineStr"/>
      <c r="G25" s="34" t="inlineStr"/>
      <c r="H25" s="34" t="inlineStr"/>
      <c r="I25" s="34" t="inlineStr"/>
      <c r="J25" s="34" t="inlineStr"/>
      <c r="K25" s="34" t="inlineStr"/>
      <c r="L25" s="34" t="inlineStr"/>
      <c r="M25" s="34" t="inlineStr"/>
      <c r="N25" s="34" t="inlineStr"/>
      <c r="O25" s="34" t="inlineStr"/>
      <c r="P25" s="34" t="inlineStr"/>
      <c r="Q25" s="38">
        <f>IF(AND(D25&lt;&gt;"",P25&lt;&gt;""),D25-P25,"")</f>
        <v/>
      </c>
      <c r="R25" s="21">
        <f>IF(Q25="","",IF(Q25&gt;0,"Mejora",IF(Q25&lt;0,"Baja","Estable")))</f>
        <v/>
      </c>
    </row>
    <row r="26" ht="15" customHeight="1">
      <c r="B26" s="39" t="inlineStr">
        <is>
          <t>Fitness Facil</t>
        </is>
      </c>
      <c r="C26" s="40" t="inlineStr">
        <is>
          <t>mejor maquina eliptica</t>
        </is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inlineStr"/>
      <c r="N26" s="34" t="inlineStr"/>
      <c r="O26" s="34" t="inlineStr"/>
      <c r="P26" s="34" t="inlineStr"/>
      <c r="Q26" s="41">
        <f>IF(AND(D26&lt;&gt;"",P26&lt;&gt;""),D26-P26,"")</f>
        <v/>
      </c>
      <c r="R26" s="24">
        <f>IF(Q26="","",IF(Q26&gt;0,"Mejora",IF(Q26&lt;0,"Baja","Estable")))</f>
        <v/>
      </c>
    </row>
    <row r="27" ht="15" customHeight="1">
      <c r="B27" s="39" t="inlineStr">
        <is>
          <t>Fitness Facil</t>
        </is>
      </c>
      <c r="C27" s="40" t="inlineStr">
        <is>
          <t>bicicleta estatica plegable</t>
        </is>
      </c>
      <c r="D27" s="34" t="inlineStr"/>
      <c r="E27" s="34" t="inlineStr"/>
      <c r="F27" s="34" t="inlineStr"/>
      <c r="G27" s="34" t="inlineStr"/>
      <c r="H27" s="34" t="inlineStr"/>
      <c r="I27" s="34" t="inlineStr"/>
      <c r="J27" s="34" t="inlineStr"/>
      <c r="K27" s="34" t="inlineStr"/>
      <c r="L27" s="34" t="inlineStr"/>
      <c r="M27" s="34" t="inlineStr"/>
      <c r="N27" s="34" t="inlineStr"/>
      <c r="O27" s="34" t="inlineStr"/>
      <c r="P27" s="34" t="inlineStr"/>
      <c r="Q27" s="41">
        <f>IF(AND(D27&lt;&gt;"",P27&lt;&gt;""),D27-P27,"")</f>
        <v/>
      </c>
      <c r="R27" s="24">
        <f>IF(Q27="","",IF(Q27&gt;0,"Mejora",IF(Q27&lt;0,"Baja","Estable")))</f>
        <v/>
      </c>
    </row>
    <row r="28" ht="15" customHeight="1">
      <c r="B28" s="39" t="inlineStr">
        <is>
          <t>Fitness Facil</t>
        </is>
      </c>
      <c r="C28" s="40" t="inlineStr">
        <is>
          <t>proteina whey sin lactosa</t>
        </is>
      </c>
      <c r="D28" s="34" t="inlineStr"/>
      <c r="E28" s="34" t="inlineStr"/>
      <c r="F28" s="34" t="inlineStr"/>
      <c r="G28" s="34" t="inlineStr"/>
      <c r="H28" s="34" t="inlineStr"/>
      <c r="I28" s="34" t="inlineStr"/>
      <c r="J28" s="34" t="inlineStr"/>
      <c r="K28" s="34" t="inlineStr"/>
      <c r="L28" s="34" t="inlineStr"/>
      <c r="M28" s="34" t="inlineStr"/>
      <c r="N28" s="34" t="inlineStr"/>
      <c r="O28" s="34" t="inlineStr"/>
      <c r="P28" s="34" t="inlineStr"/>
      <c r="Q28" s="41">
        <f>IF(AND(D28&lt;&gt;"",P28&lt;&gt;""),D28-P28,"")</f>
        <v/>
      </c>
      <c r="R28" s="24">
        <f>IF(Q28="","",IF(Q28&gt;0,"Mejora",IF(Q28&lt;0,"Baja","Estable")))</f>
        <v/>
      </c>
    </row>
    <row r="29" ht="15" customHeight="1">
      <c r="B29" s="39" t="inlineStr">
        <is>
          <t>Fitness Facil</t>
        </is>
      </c>
      <c r="C29" s="40" t="inlineStr">
        <is>
          <t>tabla HIIT en casa sin material</t>
        </is>
      </c>
      <c r="D29" s="34" t="inlineStr"/>
      <c r="E29" s="34" t="inlineStr"/>
      <c r="F29" s="34" t="inlineStr"/>
      <c r="G29" s="34" t="inlineStr"/>
      <c r="H29" s="34" t="inlineStr"/>
      <c r="I29" s="34" t="inlineStr"/>
      <c r="J29" s="34" t="inlineStr"/>
      <c r="K29" s="34" t="inlineStr"/>
      <c r="L29" s="34" t="inlineStr"/>
      <c r="M29" s="34" t="inlineStr"/>
      <c r="N29" s="34" t="inlineStr"/>
      <c r="O29" s="34" t="inlineStr"/>
      <c r="P29" s="34" t="inlineStr"/>
      <c r="Q29" s="41">
        <f>IF(AND(D29&lt;&gt;"",P29&lt;&gt;""),D29-P29,"")</f>
        <v/>
      </c>
      <c r="R29" s="24">
        <f>IF(Q29="","",IF(Q29&gt;0,"Mejora",IF(Q29&lt;0,"Baja","Estable")))</f>
        <v/>
      </c>
    </row>
    <row r="30" ht="15" customHeight="1">
      <c r="B30" s="39" t="inlineStr">
        <is>
          <t>Fitness Facil</t>
        </is>
      </c>
      <c r="C30" s="40" t="inlineStr">
        <is>
          <t>esterilla yoga antideslizante</t>
        </is>
      </c>
      <c r="D30" s="34" t="inlineStr"/>
      <c r="E30" s="34" t="inlineStr"/>
      <c r="F30" s="34" t="inlineStr"/>
      <c r="G30" s="34" t="inlineStr"/>
      <c r="H30" s="34" t="inlineStr"/>
      <c r="I30" s="34" t="inlineStr"/>
      <c r="J30" s="34" t="inlineStr"/>
      <c r="K30" s="34" t="inlineStr"/>
      <c r="L30" s="34" t="inlineStr"/>
      <c r="M30" s="34" t="inlineStr"/>
      <c r="N30" s="34" t="inlineStr"/>
      <c r="O30" s="34" t="inlineStr"/>
      <c r="P30" s="34" t="inlineStr"/>
      <c r="Q30" s="41">
        <f>IF(AND(D30&lt;&gt;"",P30&lt;&gt;""),D30-P30,"")</f>
        <v/>
      </c>
      <c r="R30" s="24">
        <f>IF(Q30="","",IF(Q30&gt;0,"Mejora",IF(Q30&lt;0,"Baja","Estable")))</f>
        <v/>
      </c>
    </row>
    <row r="31" ht="15" customHeight="1">
      <c r="B31" s="39" t="inlineStr">
        <is>
          <t>Fitness Facil</t>
        </is>
      </c>
      <c r="C31" s="40" t="inlineStr">
        <is>
          <t>mancuernas ajustables 30 kg</t>
        </is>
      </c>
      <c r="D31" s="34" t="inlineStr"/>
      <c r="E31" s="34" t="inlineStr"/>
      <c r="F31" s="34" t="inlineStr"/>
      <c r="G31" s="34" t="inlineStr"/>
      <c r="H31" s="34" t="inlineStr"/>
      <c r="I31" s="34" t="inlineStr"/>
      <c r="J31" s="34" t="inlineStr"/>
      <c r="K31" s="34" t="inlineStr"/>
      <c r="L31" s="34" t="inlineStr"/>
      <c r="M31" s="34" t="inlineStr"/>
      <c r="N31" s="34" t="inlineStr"/>
      <c r="O31" s="34" t="inlineStr"/>
      <c r="P31" s="34" t="inlineStr"/>
      <c r="Q31" s="41">
        <f>IF(AND(D31&lt;&gt;"",P31&lt;&gt;""),D31-P31,"")</f>
        <v/>
      </c>
      <c r="R31" s="24">
        <f>IF(Q31="","",IF(Q31&gt;0,"Mejora",IF(Q31&lt;0,"Baja","Estable")))</f>
        <v/>
      </c>
    </row>
    <row r="32" ht="15" customHeight="1">
      <c r="B32" s="39" t="inlineStr">
        <is>
          <t>Fitness Facil</t>
        </is>
      </c>
      <c r="C32" s="40" t="inlineStr">
        <is>
          <t>suplementos ganar masa muscular</t>
        </is>
      </c>
      <c r="D32" s="34" t="inlineStr"/>
      <c r="E32" s="34" t="inlineStr"/>
      <c r="F32" s="34" t="inlineStr"/>
      <c r="G32" s="34" t="inlineStr"/>
      <c r="H32" s="34" t="inlineStr"/>
      <c r="I32" s="34" t="inlineStr"/>
      <c r="J32" s="34" t="inlineStr"/>
      <c r="K32" s="34" t="inlineStr"/>
      <c r="L32" s="34" t="inlineStr"/>
      <c r="M32" s="34" t="inlineStr"/>
      <c r="N32" s="34" t="inlineStr"/>
      <c r="O32" s="34" t="inlineStr"/>
      <c r="P32" s="34" t="inlineStr"/>
      <c r="Q32" s="41">
        <f>IF(AND(D32&lt;&gt;"",P32&lt;&gt;""),D32-P32,"")</f>
        <v/>
      </c>
      <c r="R32" s="24">
        <f>IF(Q32="","",IF(Q32&gt;0,"Mejora",IF(Q32&lt;0,"Baja","Estable")))</f>
        <v/>
      </c>
    </row>
    <row r="33" ht="15" customHeight="1">
      <c r="B33" s="39" t="inlineStr">
        <is>
          <t>Fitness Facil</t>
        </is>
      </c>
      <c r="C33" s="40" t="inlineStr">
        <is>
          <t>banda elastica ejercicios</t>
        </is>
      </c>
      <c r="D33" s="34" t="inlineStr"/>
      <c r="E33" s="34" t="inlineStr"/>
      <c r="F33" s="34" t="inlineStr"/>
      <c r="G33" s="34" t="inlineStr"/>
      <c r="H33" s="34" t="inlineStr"/>
      <c r="I33" s="34" t="inlineStr"/>
      <c r="J33" s="34" t="inlineStr"/>
      <c r="K33" s="34" t="inlineStr"/>
      <c r="L33" s="34" t="inlineStr"/>
      <c r="M33" s="34" t="inlineStr"/>
      <c r="N33" s="34" t="inlineStr"/>
      <c r="O33" s="34" t="inlineStr"/>
      <c r="P33" s="34" t="inlineStr"/>
      <c r="Q33" s="41">
        <f>IF(AND(D33&lt;&gt;"",P33&lt;&gt;""),D33-P33,"")</f>
        <v/>
      </c>
      <c r="R33" s="24">
        <f>IF(Q33="","",IF(Q33&gt;0,"Mejora",IF(Q33&lt;0,"Baja","Estable")))</f>
        <v/>
      </c>
    </row>
    <row r="34" ht="15" customHeight="1">
      <c r="B34" s="39" t="inlineStr">
        <is>
          <t>Fitness Facil</t>
        </is>
      </c>
      <c r="C34" s="40" t="inlineStr">
        <is>
          <t>cinta de correr plegable</t>
        </is>
      </c>
      <c r="D34" s="34" t="inlineStr"/>
      <c r="E34" s="34" t="inlineStr"/>
      <c r="F34" s="34" t="inlineStr"/>
      <c r="G34" s="34" t="inlineStr"/>
      <c r="H34" s="34" t="inlineStr"/>
      <c r="I34" s="34" t="inlineStr"/>
      <c r="J34" s="34" t="inlineStr"/>
      <c r="K34" s="34" t="inlineStr"/>
      <c r="L34" s="34" t="inlineStr"/>
      <c r="M34" s="34" t="inlineStr"/>
      <c r="N34" s="34" t="inlineStr"/>
      <c r="O34" s="34" t="inlineStr"/>
      <c r="P34" s="34" t="inlineStr"/>
      <c r="Q34" s="41">
        <f>IF(AND(D34&lt;&gt;"",P34&lt;&gt;""),D34-P34,"")</f>
        <v/>
      </c>
      <c r="R34" s="24">
        <f>IF(Q34="","",IF(Q34&gt;0,"Mejora",IF(Q34&lt;0,"Baja","Estable")))</f>
        <v/>
      </c>
    </row>
    <row r="35" ht="15" customHeight="1">
      <c r="B35" s="39" t="inlineStr">
        <is>
          <t>Fitness Facil</t>
        </is>
      </c>
      <c r="C35" s="40" t="inlineStr">
        <is>
          <t>ejercicios para bajar la barriga</t>
        </is>
      </c>
      <c r="D35" s="34" t="inlineStr"/>
      <c r="E35" s="34" t="inlineStr"/>
      <c r="F35" s="34" t="inlineStr"/>
      <c r="G35" s="34" t="inlineStr"/>
      <c r="H35" s="34" t="inlineStr"/>
      <c r="I35" s="34" t="inlineStr"/>
      <c r="J35" s="34" t="inlineStr"/>
      <c r="K35" s="34" t="inlineStr"/>
      <c r="L35" s="34" t="inlineStr"/>
      <c r="M35" s="34" t="inlineStr"/>
      <c r="N35" s="34" t="inlineStr"/>
      <c r="O35" s="34" t="inlineStr"/>
      <c r="P35" s="34" t="inlineStr"/>
      <c r="Q35" s="41">
        <f>IF(AND(D35&lt;&gt;"",P35&lt;&gt;""),D35-P35,"")</f>
        <v/>
      </c>
      <c r="R35" s="24">
        <f>IF(Q35="","",IF(Q35&gt;0,"Mejora",IF(Q35&lt;0,"Baja","Estable")))</f>
        <v/>
      </c>
    </row>
    <row r="36" ht="15" customHeight="1">
      <c r="B36" s="42" t="inlineStr">
        <is>
          <t>Emprende Digital</t>
        </is>
      </c>
      <c r="C36" s="43" t="inlineStr">
        <is>
          <t>mejores herramientas IA empresas</t>
        </is>
      </c>
      <c r="D36" s="34" t="inlineStr"/>
      <c r="E36" s="34" t="inlineStr"/>
      <c r="F36" s="34" t="inlineStr"/>
      <c r="G36" s="34" t="inlineStr"/>
      <c r="H36" s="34" t="inlineStr"/>
      <c r="I36" s="34" t="inlineStr"/>
      <c r="J36" s="34" t="inlineStr"/>
      <c r="K36" s="34" t="inlineStr"/>
      <c r="L36" s="34" t="inlineStr"/>
      <c r="M36" s="34" t="inlineStr"/>
      <c r="N36" s="34" t="inlineStr"/>
      <c r="O36" s="34" t="inlineStr"/>
      <c r="P36" s="34" t="inlineStr"/>
      <c r="Q36" s="44">
        <f>IF(AND(D36&lt;&gt;"",P36&lt;&gt;""),D36-P36,"")</f>
        <v/>
      </c>
      <c r="R36" s="27">
        <f>IF(Q36="","",IF(Q36&gt;0,"Mejora",IF(Q36&lt;0,"Baja","Estable")))</f>
        <v/>
      </c>
    </row>
    <row r="37" ht="15" customHeight="1">
      <c r="B37" s="42" t="inlineStr">
        <is>
          <t>Emprende Digital</t>
        </is>
      </c>
      <c r="C37" s="43" t="inlineStr">
        <is>
          <t>tablet para trabajar 2026</t>
        </is>
      </c>
      <c r="D37" s="34" t="inlineStr"/>
      <c r="E37" s="34" t="inlineStr"/>
      <c r="F37" s="34" t="inlineStr"/>
      <c r="G37" s="34" t="inlineStr"/>
      <c r="H37" s="34" t="inlineStr"/>
      <c r="I37" s="34" t="inlineStr"/>
      <c r="J37" s="34" t="inlineStr"/>
      <c r="K37" s="34" t="inlineStr"/>
      <c r="L37" s="34" t="inlineStr"/>
      <c r="M37" s="34" t="inlineStr"/>
      <c r="N37" s="34" t="inlineStr"/>
      <c r="O37" s="34" t="inlineStr"/>
      <c r="P37" s="34" t="inlineStr"/>
      <c r="Q37" s="44">
        <f>IF(AND(D37&lt;&gt;"",P37&lt;&gt;""),D37-P37,"")</f>
        <v/>
      </c>
      <c r="R37" s="27">
        <f>IF(Q37="","",IF(Q37&gt;0,"Mejora",IF(Q37&lt;0,"Baja","Estable")))</f>
        <v/>
      </c>
    </row>
    <row r="38" ht="15" customHeight="1">
      <c r="B38" s="42" t="inlineStr">
        <is>
          <t>Emprende Digital</t>
        </is>
      </c>
      <c r="C38" s="43" t="inlineStr">
        <is>
          <t>mejor hub USB-C para MacBook</t>
        </is>
      </c>
      <c r="D38" s="34" t="inlineStr"/>
      <c r="E38" s="34" t="inlineStr"/>
      <c r="F38" s="34" t="inlineStr"/>
      <c r="G38" s="34" t="inlineStr"/>
      <c r="H38" s="34" t="inlineStr"/>
      <c r="I38" s="34" t="inlineStr"/>
      <c r="J38" s="34" t="inlineStr"/>
      <c r="K38" s="34" t="inlineStr"/>
      <c r="L38" s="34" t="inlineStr"/>
      <c r="M38" s="34" t="inlineStr"/>
      <c r="N38" s="34" t="inlineStr"/>
      <c r="O38" s="34" t="inlineStr"/>
      <c r="P38" s="34" t="inlineStr"/>
      <c r="Q38" s="44">
        <f>IF(AND(D38&lt;&gt;"",P38&lt;&gt;""),D38-P38,"")</f>
        <v/>
      </c>
      <c r="R38" s="27">
        <f>IF(Q38="","",IF(Q38&gt;0,"Mejora",IF(Q38&lt;0,"Baja","Estable")))</f>
        <v/>
      </c>
    </row>
    <row r="39" ht="15" customHeight="1">
      <c r="B39" s="42" t="inlineStr">
        <is>
          <t>Emprende Digital</t>
        </is>
      </c>
      <c r="C39" s="43" t="inlineStr">
        <is>
          <t>herramientas email marketing</t>
        </is>
      </c>
      <c r="D39" s="34" t="inlineStr"/>
      <c r="E39" s="34" t="inlineStr"/>
      <c r="F39" s="34" t="inlineStr"/>
      <c r="G39" s="34" t="inlineStr"/>
      <c r="H39" s="34" t="inlineStr"/>
      <c r="I39" s="34" t="inlineStr"/>
      <c r="J39" s="34" t="inlineStr"/>
      <c r="K39" s="34" t="inlineStr"/>
      <c r="L39" s="34" t="inlineStr"/>
      <c r="M39" s="34" t="inlineStr"/>
      <c r="N39" s="34" t="inlineStr"/>
      <c r="O39" s="34" t="inlineStr"/>
      <c r="P39" s="34" t="inlineStr"/>
      <c r="Q39" s="44">
        <f>IF(AND(D39&lt;&gt;"",P39&lt;&gt;""),D39-P39,"")</f>
        <v/>
      </c>
      <c r="R39" s="27">
        <f>IF(Q39="","",IF(Q39&gt;0,"Mejora",IF(Q39&lt;0,"Baja","Estable")))</f>
        <v/>
      </c>
    </row>
    <row r="40" ht="15" customHeight="1">
      <c r="B40" s="42" t="inlineStr">
        <is>
          <t>Emprende Digital</t>
        </is>
      </c>
      <c r="C40" s="43" t="inlineStr">
        <is>
          <t>software facturacion autonomos</t>
        </is>
      </c>
      <c r="D40" s="34" t="inlineStr"/>
      <c r="E40" s="34" t="inlineStr"/>
      <c r="F40" s="34" t="inlineStr"/>
      <c r="G40" s="34" t="inlineStr"/>
      <c r="H40" s="34" t="inlineStr"/>
      <c r="I40" s="34" t="inlineStr"/>
      <c r="J40" s="34" t="inlineStr"/>
      <c r="K40" s="34" t="inlineStr"/>
      <c r="L40" s="34" t="inlineStr"/>
      <c r="M40" s="34" t="inlineStr"/>
      <c r="N40" s="34" t="inlineStr"/>
      <c r="O40" s="34" t="inlineStr"/>
      <c r="P40" s="34" t="inlineStr"/>
      <c r="Q40" s="44">
        <f>IF(AND(D40&lt;&gt;"",P40&lt;&gt;""),D40-P40,"")</f>
        <v/>
      </c>
      <c r="R40" s="27">
        <f>IF(Q40="","",IF(Q40&gt;0,"Mejora",IF(Q40&lt;0,"Baja","Estable")))</f>
        <v/>
      </c>
    </row>
    <row r="41" ht="15" customHeight="1">
      <c r="B41" s="42" t="inlineStr">
        <is>
          <t>Emprende Digital</t>
        </is>
      </c>
      <c r="C41" s="43" t="inlineStr">
        <is>
          <t>como crear un blog rentable</t>
        </is>
      </c>
      <c r="D41" s="34" t="inlineStr"/>
      <c r="E41" s="34" t="inlineStr"/>
      <c r="F41" s="34" t="inlineStr"/>
      <c r="G41" s="34" t="inlineStr"/>
      <c r="H41" s="34" t="inlineStr"/>
      <c r="I41" s="34" t="inlineStr"/>
      <c r="J41" s="34" t="inlineStr"/>
      <c r="K41" s="34" t="inlineStr"/>
      <c r="L41" s="34" t="inlineStr"/>
      <c r="M41" s="34" t="inlineStr"/>
      <c r="N41" s="34" t="inlineStr"/>
      <c r="O41" s="34" t="inlineStr"/>
      <c r="P41" s="34" t="inlineStr"/>
      <c r="Q41" s="44">
        <f>IF(AND(D41&lt;&gt;"",P41&lt;&gt;""),D41-P41,"")</f>
        <v/>
      </c>
      <c r="R41" s="27">
        <f>IF(Q41="","",IF(Q41&gt;0,"Mejora",IF(Q41&lt;0,"Baja","Estable")))</f>
        <v/>
      </c>
    </row>
    <row r="42" ht="15" customHeight="1">
      <c r="B42" s="42" t="inlineStr">
        <is>
          <t>Emprende Digital</t>
        </is>
      </c>
      <c r="C42" s="43" t="inlineStr">
        <is>
          <t>mejores apps productividad movil</t>
        </is>
      </c>
      <c r="D42" s="34" t="inlineStr"/>
      <c r="E42" s="34" t="inlineStr"/>
      <c r="F42" s="34" t="inlineStr"/>
      <c r="G42" s="34" t="inlineStr"/>
      <c r="H42" s="34" t="inlineStr"/>
      <c r="I42" s="34" t="inlineStr"/>
      <c r="J42" s="34" t="inlineStr"/>
      <c r="K42" s="34" t="inlineStr"/>
      <c r="L42" s="34" t="inlineStr"/>
      <c r="M42" s="34" t="inlineStr"/>
      <c r="N42" s="34" t="inlineStr"/>
      <c r="O42" s="34" t="inlineStr"/>
      <c r="P42" s="34" t="inlineStr"/>
      <c r="Q42" s="44">
        <f>IF(AND(D42&lt;&gt;"",P42&lt;&gt;""),D42-P42,"")</f>
        <v/>
      </c>
      <c r="R42" s="27">
        <f>IF(Q42="","",IF(Q42&gt;0,"Mejora",IF(Q42&lt;0,"Baja","Estable")))</f>
        <v/>
      </c>
    </row>
    <row r="43" ht="15" customHeight="1">
      <c r="B43" s="42" t="inlineStr">
        <is>
          <t>Emprende Digital</t>
        </is>
      </c>
      <c r="C43" s="43" t="inlineStr">
        <is>
          <t>herramientas SEO gratis</t>
        </is>
      </c>
      <c r="D43" s="34" t="inlineStr"/>
      <c r="E43" s="34" t="inlineStr"/>
      <c r="F43" s="34" t="inlineStr"/>
      <c r="G43" s="34" t="inlineStr"/>
      <c r="H43" s="34" t="inlineStr"/>
      <c r="I43" s="34" t="inlineStr"/>
      <c r="J43" s="34" t="inlineStr"/>
      <c r="K43" s="34" t="inlineStr"/>
      <c r="L43" s="34" t="inlineStr"/>
      <c r="M43" s="34" t="inlineStr"/>
      <c r="N43" s="34" t="inlineStr"/>
      <c r="O43" s="34" t="inlineStr"/>
      <c r="P43" s="34" t="inlineStr"/>
      <c r="Q43" s="44">
        <f>IF(AND(D43&lt;&gt;"",P43&lt;&gt;""),D43-P43,"")</f>
        <v/>
      </c>
      <c r="R43" s="27">
        <f>IF(Q43="","",IF(Q43&gt;0,"Mejora",IF(Q43&lt;0,"Baja","Estable")))</f>
        <v/>
      </c>
    </row>
    <row r="44" ht="15" customHeight="1">
      <c r="B44" s="42" t="inlineStr">
        <is>
          <t>Emprende Digital</t>
        </is>
      </c>
      <c r="C44" s="43" t="inlineStr">
        <is>
          <t>alternativas ChatGPT gratis</t>
        </is>
      </c>
      <c r="D44" s="34" t="inlineStr"/>
      <c r="E44" s="34" t="inlineStr"/>
      <c r="F44" s="34" t="inlineStr"/>
      <c r="G44" s="34" t="inlineStr"/>
      <c r="H44" s="34" t="inlineStr"/>
      <c r="I44" s="34" t="inlineStr"/>
      <c r="J44" s="34" t="inlineStr"/>
      <c r="K44" s="34" t="inlineStr"/>
      <c r="L44" s="34" t="inlineStr"/>
      <c r="M44" s="34" t="inlineStr"/>
      <c r="N44" s="34" t="inlineStr"/>
      <c r="O44" s="34" t="inlineStr"/>
      <c r="P44" s="34" t="inlineStr"/>
      <c r="Q44" s="44">
        <f>IF(AND(D44&lt;&gt;"",P44&lt;&gt;""),D44-P44,"")</f>
        <v/>
      </c>
      <c r="R44" s="27">
        <f>IF(Q44="","",IF(Q44&gt;0,"Mejora",IF(Q44&lt;0,"Baja","Estable")))</f>
        <v/>
      </c>
    </row>
    <row r="45" ht="15" customHeight="1">
      <c r="B45" s="42" t="inlineStr">
        <is>
          <t>Emprende Digital</t>
        </is>
      </c>
      <c r="C45" s="43" t="inlineStr">
        <is>
          <t>curso marketing digital online</t>
        </is>
      </c>
      <c r="D45" s="34" t="inlineStr"/>
      <c r="E45" s="34" t="inlineStr"/>
      <c r="F45" s="34" t="inlineStr"/>
      <c r="G45" s="34" t="inlineStr"/>
      <c r="H45" s="34" t="inlineStr"/>
      <c r="I45" s="34" t="inlineStr"/>
      <c r="J45" s="34" t="inlineStr"/>
      <c r="K45" s="34" t="inlineStr"/>
      <c r="L45" s="34" t="inlineStr"/>
      <c r="M45" s="34" t="inlineStr"/>
      <c r="N45" s="34" t="inlineStr"/>
      <c r="O45" s="34" t="inlineStr"/>
      <c r="P45" s="34" t="inlineStr"/>
      <c r="Q45" s="44">
        <f>IF(AND(D45&lt;&gt;"",P45&lt;&gt;""),D45-P45,"")</f>
        <v/>
      </c>
      <c r="R45" s="27">
        <f>IF(Q45="","",IF(Q45&gt;0,"Mejora",IF(Q45&lt;0,"Baja","Estable")))</f>
        <v/>
      </c>
    </row>
    <row r="46" ht="15" customHeight="1">
      <c r="B46" s="45" t="inlineStr">
        <is>
          <t>JugueteSTEM</t>
        </is>
      </c>
      <c r="C46" s="46" t="inlineStr">
        <is>
          <t>juguetes educativos 8 anos</t>
        </is>
      </c>
      <c r="D46" s="34" t="inlineStr"/>
      <c r="E46" s="34" t="inlineStr"/>
      <c r="F46" s="34" t="inlineStr"/>
      <c r="G46" s="34" t="inlineStr"/>
      <c r="H46" s="34" t="inlineStr"/>
      <c r="I46" s="34" t="inlineStr"/>
      <c r="J46" s="34" t="inlineStr"/>
      <c r="K46" s="34" t="inlineStr"/>
      <c r="L46" s="34" t="inlineStr"/>
      <c r="M46" s="34" t="inlineStr"/>
      <c r="N46" s="34" t="inlineStr"/>
      <c r="O46" s="34" t="inlineStr"/>
      <c r="P46" s="34" t="inlineStr"/>
      <c r="Q46" s="47">
        <f>IF(AND(D46&lt;&gt;"",P46&lt;&gt;""),D46-P46,"")</f>
        <v/>
      </c>
      <c r="R46" s="30">
        <f>IF(Q46="","",IF(Q46&gt;0,"Mejora",IF(Q46&lt;0,"Baja","Estable")))</f>
        <v/>
      </c>
    </row>
    <row r="47" ht="15" customHeight="1">
      <c r="B47" s="45" t="inlineStr">
        <is>
          <t>JugueteSTEM</t>
        </is>
      </c>
      <c r="C47" s="46" t="inlineStr">
        <is>
          <t>kit robotica ninos principiantes</t>
        </is>
      </c>
      <c r="D47" s="34" t="inlineStr"/>
      <c r="E47" s="34" t="inlineStr"/>
      <c r="F47" s="34" t="inlineStr"/>
      <c r="G47" s="34" t="inlineStr"/>
      <c r="H47" s="34" t="inlineStr"/>
      <c r="I47" s="34" t="inlineStr"/>
      <c r="J47" s="34" t="inlineStr"/>
      <c r="K47" s="34" t="inlineStr"/>
      <c r="L47" s="34" t="inlineStr"/>
      <c r="M47" s="34" t="inlineStr"/>
      <c r="N47" s="34" t="inlineStr"/>
      <c r="O47" s="34" t="inlineStr"/>
      <c r="P47" s="34" t="inlineStr"/>
      <c r="Q47" s="47">
        <f>IF(AND(D47&lt;&gt;"",P47&lt;&gt;""),D47-P47,"")</f>
        <v/>
      </c>
      <c r="R47" s="30">
        <f>IF(Q47="","",IF(Q47&gt;0,"Mejora",IF(Q47&lt;0,"Baja","Estable")))</f>
        <v/>
      </c>
    </row>
    <row r="48" ht="15" customHeight="1">
      <c r="B48" s="45" t="inlineStr">
        <is>
          <t>JugueteSTEM</t>
        </is>
      </c>
      <c r="C48" s="46" t="inlineStr">
        <is>
          <t>telescopio para ninos</t>
        </is>
      </c>
      <c r="D48" s="34" t="inlineStr"/>
      <c r="E48" s="34" t="inlineStr"/>
      <c r="F48" s="34" t="inlineStr"/>
      <c r="G48" s="34" t="inlineStr"/>
      <c r="H48" s="34" t="inlineStr"/>
      <c r="I48" s="34" t="inlineStr"/>
      <c r="J48" s="34" t="inlineStr"/>
      <c r="K48" s="34" t="inlineStr"/>
      <c r="L48" s="34" t="inlineStr"/>
      <c r="M48" s="34" t="inlineStr"/>
      <c r="N48" s="34" t="inlineStr"/>
      <c r="O48" s="34" t="inlineStr"/>
      <c r="P48" s="34" t="inlineStr"/>
      <c r="Q48" s="47">
        <f>IF(AND(D48&lt;&gt;"",P48&lt;&gt;""),D48-P48,"")</f>
        <v/>
      </c>
      <c r="R48" s="30">
        <f>IF(Q48="","",IF(Q48&gt;0,"Mejora",IF(Q48&lt;0,"Baja","Estable")))</f>
        <v/>
      </c>
    </row>
    <row r="49" ht="15" customHeight="1">
      <c r="B49" s="45" t="inlineStr">
        <is>
          <t>JugueteSTEM</t>
        </is>
      </c>
      <c r="C49" s="46" t="inlineStr">
        <is>
          <t>juguetes STEM ninas 10 anos</t>
        </is>
      </c>
      <c r="D49" s="34" t="inlineStr"/>
      <c r="E49" s="34" t="inlineStr"/>
      <c r="F49" s="34" t="inlineStr"/>
      <c r="G49" s="34" t="inlineStr"/>
      <c r="H49" s="34" t="inlineStr"/>
      <c r="I49" s="34" t="inlineStr"/>
      <c r="J49" s="34" t="inlineStr"/>
      <c r="K49" s="34" t="inlineStr"/>
      <c r="L49" s="34" t="inlineStr"/>
      <c r="M49" s="34" t="inlineStr"/>
      <c r="N49" s="34" t="inlineStr"/>
      <c r="O49" s="34" t="inlineStr"/>
      <c r="P49" s="34" t="inlineStr"/>
      <c r="Q49" s="47">
        <f>IF(AND(D49&lt;&gt;"",P49&lt;&gt;""),D49-P49,"")</f>
        <v/>
      </c>
      <c r="R49" s="30">
        <f>IF(Q49="","",IF(Q49&gt;0,"Mejora",IF(Q49&lt;0,"Baja","Estable")))</f>
        <v/>
      </c>
    </row>
    <row r="50" ht="15" customHeight="1">
      <c r="B50" s="45" t="inlineStr">
        <is>
          <t>JugueteSTEM</t>
        </is>
      </c>
      <c r="C50" s="46" t="inlineStr">
        <is>
          <t>microscopio educativo infantil</t>
        </is>
      </c>
      <c r="D50" s="34" t="inlineStr"/>
      <c r="E50" s="34" t="inlineStr"/>
      <c r="F50" s="34" t="inlineStr"/>
      <c r="G50" s="34" t="inlineStr"/>
      <c r="H50" s="34" t="inlineStr"/>
      <c r="I50" s="34" t="inlineStr"/>
      <c r="J50" s="34" t="inlineStr"/>
      <c r="K50" s="34" t="inlineStr"/>
      <c r="L50" s="34" t="inlineStr"/>
      <c r="M50" s="34" t="inlineStr"/>
      <c r="N50" s="34" t="inlineStr"/>
      <c r="O50" s="34" t="inlineStr"/>
      <c r="P50" s="34" t="inlineStr"/>
      <c r="Q50" s="47">
        <f>IF(AND(D50&lt;&gt;"",P50&lt;&gt;""),D50-P50,"")</f>
        <v/>
      </c>
      <c r="R50" s="30">
        <f>IF(Q50="","",IF(Q50&gt;0,"Mejora",IF(Q50&lt;0,"Baja","Estable")))</f>
        <v/>
      </c>
    </row>
    <row r="51" ht="15" customHeight="1">
      <c r="B51" s="45" t="inlineStr">
        <is>
          <t>JugueteSTEM</t>
        </is>
      </c>
      <c r="C51" s="46" t="inlineStr">
        <is>
          <t>tablet educativa ninos 6 anos</t>
        </is>
      </c>
      <c r="D51" s="34" t="inlineStr"/>
      <c r="E51" s="34" t="inlineStr"/>
      <c r="F51" s="34" t="inlineStr"/>
      <c r="G51" s="34" t="inlineStr"/>
      <c r="H51" s="34" t="inlineStr"/>
      <c r="I51" s="34" t="inlineStr"/>
      <c r="J51" s="34" t="inlineStr"/>
      <c r="K51" s="34" t="inlineStr"/>
      <c r="L51" s="34" t="inlineStr"/>
      <c r="M51" s="34" t="inlineStr"/>
      <c r="N51" s="34" t="inlineStr"/>
      <c r="O51" s="34" t="inlineStr"/>
      <c r="P51" s="34" t="inlineStr"/>
      <c r="Q51" s="47">
        <f>IF(AND(D51&lt;&gt;"",P51&lt;&gt;""),D51-P51,"")</f>
        <v/>
      </c>
      <c r="R51" s="30">
        <f>IF(Q51="","",IF(Q51&gt;0,"Mejora",IF(Q51&lt;0,"Baja","Estable")))</f>
        <v/>
      </c>
    </row>
    <row r="52" ht="15" customHeight="1">
      <c r="B52" s="45" t="inlineStr">
        <is>
          <t>JugueteSTEM</t>
        </is>
      </c>
      <c r="C52" s="46" t="inlineStr">
        <is>
          <t>juegos de matematicas para ninos</t>
        </is>
      </c>
      <c r="D52" s="34" t="inlineStr"/>
      <c r="E52" s="34" t="inlineStr"/>
      <c r="F52" s="34" t="inlineStr"/>
      <c r="G52" s="34" t="inlineStr"/>
      <c r="H52" s="34" t="inlineStr"/>
      <c r="I52" s="34" t="inlineStr"/>
      <c r="J52" s="34" t="inlineStr"/>
      <c r="K52" s="34" t="inlineStr"/>
      <c r="L52" s="34" t="inlineStr"/>
      <c r="M52" s="34" t="inlineStr"/>
      <c r="N52" s="34" t="inlineStr"/>
      <c r="O52" s="34" t="inlineStr"/>
      <c r="P52" s="34" t="inlineStr"/>
      <c r="Q52" s="47">
        <f>IF(AND(D52&lt;&gt;"",P52&lt;&gt;""),D52-P52,"")</f>
        <v/>
      </c>
      <c r="R52" s="30">
        <f>IF(Q52="","",IF(Q52&gt;0,"Mejora",IF(Q52&lt;0,"Baja","Estable")))</f>
        <v/>
      </c>
    </row>
    <row r="53" ht="15" customHeight="1">
      <c r="B53" s="45" t="inlineStr">
        <is>
          <t>JugueteSTEM</t>
        </is>
      </c>
      <c r="C53" s="46" t="inlineStr">
        <is>
          <t>kit electronica ninos arduino</t>
        </is>
      </c>
      <c r="D53" s="34" t="inlineStr"/>
      <c r="E53" s="34" t="inlineStr"/>
      <c r="F53" s="34" t="inlineStr"/>
      <c r="G53" s="34" t="inlineStr"/>
      <c r="H53" s="34" t="inlineStr"/>
      <c r="I53" s="34" t="inlineStr"/>
      <c r="J53" s="34" t="inlineStr"/>
      <c r="K53" s="34" t="inlineStr"/>
      <c r="L53" s="34" t="inlineStr"/>
      <c r="M53" s="34" t="inlineStr"/>
      <c r="N53" s="34" t="inlineStr"/>
      <c r="O53" s="34" t="inlineStr"/>
      <c r="P53" s="34" t="inlineStr"/>
      <c r="Q53" s="47">
        <f>IF(AND(D53&lt;&gt;"",P53&lt;&gt;""),D53-P53,"")</f>
        <v/>
      </c>
      <c r="R53" s="30">
        <f>IF(Q53="","",IF(Q53&gt;0,"Mejora",IF(Q53&lt;0,"Baja","Estable")))</f>
        <v/>
      </c>
    </row>
    <row r="54" ht="15" customHeight="1">
      <c r="B54" s="45" t="inlineStr">
        <is>
          <t>JugueteSTEM</t>
        </is>
      </c>
      <c r="C54" s="46" t="inlineStr">
        <is>
          <t>juguetes Montessori 3 anos</t>
        </is>
      </c>
      <c r="D54" s="34" t="inlineStr"/>
      <c r="E54" s="34" t="inlineStr"/>
      <c r="F54" s="34" t="inlineStr"/>
      <c r="G54" s="34" t="inlineStr"/>
      <c r="H54" s="34" t="inlineStr"/>
      <c r="I54" s="34" t="inlineStr"/>
      <c r="J54" s="34" t="inlineStr"/>
      <c r="K54" s="34" t="inlineStr"/>
      <c r="L54" s="34" t="inlineStr"/>
      <c r="M54" s="34" t="inlineStr"/>
      <c r="N54" s="34" t="inlineStr"/>
      <c r="O54" s="34" t="inlineStr"/>
      <c r="P54" s="34" t="inlineStr"/>
      <c r="Q54" s="47">
        <f>IF(AND(D54&lt;&gt;"",P54&lt;&gt;""),D54-P54,"")</f>
        <v/>
      </c>
      <c r="R54" s="30">
        <f>IF(Q54="","",IF(Q54&gt;0,"Mejora",IF(Q54&lt;0,"Baja","Estable")))</f>
        <v/>
      </c>
    </row>
    <row r="55" ht="15" customHeight="1">
      <c r="B55" s="45" t="inlineStr">
        <is>
          <t>JugueteSTEM</t>
        </is>
      </c>
      <c r="C55" s="46" t="inlineStr">
        <is>
          <t>experimentos ciencia ninos</t>
        </is>
      </c>
      <c r="D55" s="34" t="inlineStr"/>
      <c r="E55" s="34" t="inlineStr"/>
      <c r="F55" s="34" t="inlineStr"/>
      <c r="G55" s="34" t="inlineStr"/>
      <c r="H55" s="34" t="inlineStr"/>
      <c r="I55" s="34" t="inlineStr"/>
      <c r="J55" s="34" t="inlineStr"/>
      <c r="K55" s="34" t="inlineStr"/>
      <c r="L55" s="34" t="inlineStr"/>
      <c r="M55" s="34" t="inlineStr"/>
      <c r="N55" s="34" t="inlineStr"/>
      <c r="O55" s="34" t="inlineStr"/>
      <c r="P55" s="34" t="inlineStr"/>
      <c r="Q55" s="47">
        <f>IF(AND(D55&lt;&gt;"",P55&lt;&gt;""),D55-P55,"")</f>
        <v/>
      </c>
      <c r="R55" s="30">
        <f>IF(Q55="","",IF(Q55&gt;0,"Mejora",IF(Q55&lt;0,"Baja","Estable")))</f>
        <v/>
      </c>
    </row>
    <row r="57">
      <c r="B57" s="48" t="inlineStr">
        <is>
          <t>Como rellenar: GSC -&gt; Rendimiento -&gt; Consultas -&gt; Filtrar 7 dias -&gt; Buscar keyword -&gt; Copiar posicion media aqui. Positivo en Mejora total = subida de posicion.</t>
        </is>
      </c>
    </row>
  </sheetData>
  <mergeCells count="2">
    <mergeCell ref="B2:R3"/>
    <mergeCell ref="B57:R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44" customWidth="1" min="4" max="4"/>
    <col width="28" customWidth="1" min="5" max="5"/>
    <col width="16" customWidth="1" min="6" max="6"/>
    <col width="14" customWidth="1" min="7" max="7"/>
  </cols>
  <sheetData>
    <row r="1" ht="8" customHeight="1"/>
    <row r="2" ht="26" customHeight="1">
      <c r="B2" s="14" t="inlineStr">
        <is>
          <t>HITOS Y OBJETIVOS — 30 / 60 / 90 DIAS</t>
        </is>
      </c>
    </row>
    <row r="3" ht="26" customHeight="1"/>
    <row r="5" ht="26" customHeight="1">
      <c r="B5" s="3" t="inlineStr">
        <is>
          <t>Fase</t>
        </is>
      </c>
      <c r="C5" s="3" t="inlineStr">
        <is>
          <t>Sitio</t>
        </is>
      </c>
      <c r="D5" s="3" t="inlineStr">
        <is>
          <t>Objetivo</t>
        </is>
      </c>
      <c r="E5" s="3" t="inlineStr">
        <is>
          <t>Metrica de exito</t>
        </is>
      </c>
      <c r="F5" s="3" t="inlineStr">
        <is>
          <t>Fecha limite</t>
        </is>
      </c>
      <c r="G5" s="3" t="inlineStr">
        <is>
          <t>Estado</t>
        </is>
      </c>
    </row>
    <row r="6" ht="20" customHeight="1">
      <c r="B6" s="15" t="inlineStr">
        <is>
          <t>30 dias</t>
        </is>
      </c>
      <c r="C6" s="17" t="inlineStr">
        <is>
          <t>Todos</t>
        </is>
      </c>
      <c r="D6" s="16" t="inlineStr">
        <is>
          <t>Indexacion completa de contenido nuevo en GSC</t>
        </is>
      </c>
      <c r="E6" s="16" t="inlineStr">
        <is>
          <t>0 paginas sin indexar en cobertura GSC</t>
        </is>
      </c>
      <c r="F6" s="17" t="inlineStr">
        <is>
          <t>15 Sep 2026</t>
        </is>
      </c>
      <c r="G6" s="17" t="inlineStr">
        <is>
          <t>Pendiente</t>
        </is>
      </c>
    </row>
    <row r="7" ht="20" customHeight="1">
      <c r="B7" s="15" t="inlineStr">
        <is>
          <t>30 dias</t>
        </is>
      </c>
      <c r="C7" s="17" t="inlineStr">
        <is>
          <t>Guia del Piscina</t>
        </is>
      </c>
      <c r="D7" s="16" t="inlineStr">
        <is>
          <t>Top 20 para 5 keywords transaccionales</t>
        </is>
      </c>
      <c r="E7" s="16" t="inlineStr">
        <is>
          <t>Posicion media &lt;20 en GSC</t>
        </is>
      </c>
      <c r="F7" s="17" t="inlineStr">
        <is>
          <t>15 Sep 2026</t>
        </is>
      </c>
      <c r="G7" s="17" t="inlineStr">
        <is>
          <t>Pendiente</t>
        </is>
      </c>
    </row>
    <row r="8" ht="20" customHeight="1">
      <c r="B8" s="15" t="inlineStr">
        <is>
          <t>30 dias</t>
        </is>
      </c>
      <c r="C8" s="17" t="inlineStr">
        <is>
          <t>Cuida Tu Mascota</t>
        </is>
      </c>
      <c r="D8" s="16" t="inlineStr">
        <is>
          <t>Top 20 para 5 keywords transaccionales</t>
        </is>
      </c>
      <c r="E8" s="16" t="inlineStr">
        <is>
          <t>Posicion media &lt;20 en GSC</t>
        </is>
      </c>
      <c r="F8" s="17" t="inlineStr">
        <is>
          <t>15 Sep 2026</t>
        </is>
      </c>
      <c r="G8" s="17" t="inlineStr">
        <is>
          <t>Pendiente</t>
        </is>
      </c>
    </row>
    <row r="9" ht="20" customHeight="1">
      <c r="B9" s="15" t="inlineStr">
        <is>
          <t>30 dias</t>
        </is>
      </c>
      <c r="C9" s="17" t="inlineStr">
        <is>
          <t>Fitness Facil</t>
        </is>
      </c>
      <c r="D9" s="16" t="inlineStr">
        <is>
          <t>Top 20 para 5 keywords transaccionales</t>
        </is>
      </c>
      <c r="E9" s="16" t="inlineStr">
        <is>
          <t>Posicion media &lt;20 en GSC</t>
        </is>
      </c>
      <c r="F9" s="17" t="inlineStr">
        <is>
          <t>15 Sep 2026</t>
        </is>
      </c>
      <c r="G9" s="17" t="inlineStr">
        <is>
          <t>Pendiente</t>
        </is>
      </c>
    </row>
    <row r="10" ht="20" customHeight="1">
      <c r="B10" s="15" t="inlineStr">
        <is>
          <t>30 dias</t>
        </is>
      </c>
      <c r="C10" s="17" t="inlineStr">
        <is>
          <t>Emprende Digital</t>
        </is>
      </c>
      <c r="D10" s="16" t="inlineStr">
        <is>
          <t>Top 20 para 5 keywords transaccionales</t>
        </is>
      </c>
      <c r="E10" s="16" t="inlineStr">
        <is>
          <t>Posicion media &lt;20 en GSC</t>
        </is>
      </c>
      <c r="F10" s="17" t="inlineStr">
        <is>
          <t>15 Sep 2026</t>
        </is>
      </c>
      <c r="G10" s="17" t="inlineStr">
        <is>
          <t>Pendiente</t>
        </is>
      </c>
    </row>
    <row r="11" ht="20" customHeight="1">
      <c r="B11" s="15" t="inlineStr">
        <is>
          <t>30 dias</t>
        </is>
      </c>
      <c r="C11" s="17" t="inlineStr">
        <is>
          <t>JugueteSTEM</t>
        </is>
      </c>
      <c r="D11" s="16" t="inlineStr">
        <is>
          <t>Top 20 para 5 keywords transaccionales</t>
        </is>
      </c>
      <c r="E11" s="16" t="inlineStr">
        <is>
          <t>Posicion media &lt;20 en GSC</t>
        </is>
      </c>
      <c r="F11" s="17" t="inlineStr">
        <is>
          <t>15 Sep 2026</t>
        </is>
      </c>
      <c r="G11" s="17" t="inlineStr">
        <is>
          <t>Pendiente</t>
        </is>
      </c>
    </row>
    <row r="12" ht="20" customHeight="1">
      <c r="B12" s="15" t="inlineStr">
        <is>
          <t>30 dias</t>
        </is>
      </c>
      <c r="C12" s="17" t="inlineStr">
        <is>
          <t>Todos</t>
        </is>
      </c>
      <c r="D12" s="16" t="inlineStr">
        <is>
          <t>CTR organico medio &gt; 2%</t>
        </is>
      </c>
      <c r="E12" s="16" t="inlineStr">
        <is>
          <t>GSC Rendimiento -&gt; CTR medio de cada sitio</t>
        </is>
      </c>
      <c r="F12" s="17" t="inlineStr">
        <is>
          <t>15 Sep 2026</t>
        </is>
      </c>
      <c r="G12" s="17" t="inlineStr">
        <is>
          <t>Pendiente</t>
        </is>
      </c>
    </row>
    <row r="13" ht="20" customHeight="1">
      <c r="B13" s="15" t="inlineStr">
        <is>
          <t>30 dias</t>
        </is>
      </c>
      <c r="C13" s="17" t="inlineStr">
        <is>
          <t>Todos</t>
        </is>
      </c>
      <c r="D13" s="16" t="inlineStr">
        <is>
          <t>0 errores Core Web Vitals en produccion</t>
        </is>
      </c>
      <c r="E13" s="16" t="inlineStr">
        <is>
          <t>PageSpeed Insights todas las URLs clave</t>
        </is>
      </c>
      <c r="F13" s="17" t="inlineStr">
        <is>
          <t>15 Sep 2026</t>
        </is>
      </c>
      <c r="G13" s="17" t="inlineStr">
        <is>
          <t>Pendiente</t>
        </is>
      </c>
    </row>
    <row r="14" ht="20" customHeight="1">
      <c r="B14" s="19" t="inlineStr">
        <is>
          <t>60 dias</t>
        </is>
      </c>
      <c r="C14" s="21" t="inlineStr">
        <is>
          <t>Guia del Piscina</t>
        </is>
      </c>
      <c r="D14" s="20" t="inlineStr">
        <is>
          <t>Top 10 para 3 keywords principales</t>
        </is>
      </c>
      <c r="E14" s="20" t="inlineStr">
        <is>
          <t>cloro piscina, robot limpiafondos, depuradora arena</t>
        </is>
      </c>
      <c r="F14" s="21" t="inlineStr">
        <is>
          <t>15 Oct 2026</t>
        </is>
      </c>
      <c r="G14" s="21" t="inlineStr">
        <is>
          <t>Pendiente</t>
        </is>
      </c>
    </row>
    <row r="15" ht="20" customHeight="1">
      <c r="B15" s="19" t="inlineStr">
        <is>
          <t>60 dias</t>
        </is>
      </c>
      <c r="C15" s="21" t="inlineStr">
        <is>
          <t>Cuida Tu Mascota</t>
        </is>
      </c>
      <c r="D15" s="20" t="inlineStr">
        <is>
          <t>Top 10 para 3 keywords principales</t>
        </is>
      </c>
      <c r="E15" s="20" t="inlineStr">
        <is>
          <t>pienso perros, collar antiparasitario, arena gatos</t>
        </is>
      </c>
      <c r="F15" s="21" t="inlineStr">
        <is>
          <t>15 Oct 2026</t>
        </is>
      </c>
      <c r="G15" s="21" t="inlineStr">
        <is>
          <t>Pendiente</t>
        </is>
      </c>
    </row>
    <row r="16" ht="20" customHeight="1">
      <c r="B16" s="19" t="inlineStr">
        <is>
          <t>60 dias</t>
        </is>
      </c>
      <c r="C16" s="21" t="inlineStr">
        <is>
          <t>Fitness Facil</t>
        </is>
      </c>
      <c r="D16" s="20" t="inlineStr">
        <is>
          <t>Top 10 para 3 keywords principales</t>
        </is>
      </c>
      <c r="E16" s="20" t="inlineStr">
        <is>
          <t>maquina eliptica, bicicleta estatica, proteina whey</t>
        </is>
      </c>
      <c r="F16" s="21" t="inlineStr">
        <is>
          <t>15 Oct 2026</t>
        </is>
      </c>
      <c r="G16" s="21" t="inlineStr">
        <is>
          <t>Pendiente</t>
        </is>
      </c>
    </row>
    <row r="17" ht="20" customHeight="1">
      <c r="B17" s="19" t="inlineStr">
        <is>
          <t>60 dias</t>
        </is>
      </c>
      <c r="C17" s="21" t="inlineStr">
        <is>
          <t>Emprende Digital</t>
        </is>
      </c>
      <c r="D17" s="20" t="inlineStr">
        <is>
          <t>Top 10 para 3 keywords principales</t>
        </is>
      </c>
      <c r="E17" s="20" t="inlineStr">
        <is>
          <t>herramientas IA, tablet trabajo, software facturacion</t>
        </is>
      </c>
      <c r="F17" s="21" t="inlineStr">
        <is>
          <t>15 Oct 2026</t>
        </is>
      </c>
      <c r="G17" s="21" t="inlineStr">
        <is>
          <t>Pendiente</t>
        </is>
      </c>
    </row>
    <row r="18" ht="20" customHeight="1">
      <c r="B18" s="19" t="inlineStr">
        <is>
          <t>60 dias</t>
        </is>
      </c>
      <c r="C18" s="21" t="inlineStr">
        <is>
          <t>JugueteSTEM</t>
        </is>
      </c>
      <c r="D18" s="20" t="inlineStr">
        <is>
          <t>Top 10 para 3 keywords principales</t>
        </is>
      </c>
      <c r="E18" s="20" t="inlineStr">
        <is>
          <t>juguetes educativos, kit robotica, telescopio ninos</t>
        </is>
      </c>
      <c r="F18" s="21" t="inlineStr">
        <is>
          <t>15 Oct 2026</t>
        </is>
      </c>
      <c r="G18" s="21" t="inlineStr">
        <is>
          <t>Pendiente</t>
        </is>
      </c>
    </row>
    <row r="19" ht="20" customHeight="1">
      <c r="B19" s="19" t="inlineStr">
        <is>
          <t>60 dias</t>
        </is>
      </c>
      <c r="C19" s="21" t="inlineStr">
        <is>
          <t>Todos</t>
        </is>
      </c>
      <c r="D19" s="20" t="inlineStr">
        <is>
          <t>Trafico organico +30% vs linea base agosto 2026</t>
        </is>
      </c>
      <c r="E19" s="20" t="inlineStr">
        <is>
          <t>GA4 -&gt; Adquisicion -&gt; Organico vs agosto</t>
        </is>
      </c>
      <c r="F19" s="21" t="inlineStr">
        <is>
          <t>15 Oct 2026</t>
        </is>
      </c>
      <c r="G19" s="21" t="inlineStr">
        <is>
          <t>Pendiente</t>
        </is>
      </c>
    </row>
    <row r="20" ht="20" customHeight="1">
      <c r="B20" s="19" t="inlineStr">
        <is>
          <t>60 dias</t>
        </is>
      </c>
      <c r="C20" s="21" t="inlineStr">
        <is>
          <t>Todos</t>
        </is>
      </c>
      <c r="D20" s="20" t="inlineStr">
        <is>
          <t>Rich Snippets activos en &gt;60% articulos</t>
        </is>
      </c>
      <c r="E20" s="20" t="inlineStr">
        <is>
          <t>Google Search Console -&gt; Mejoras</t>
        </is>
      </c>
      <c r="F20" s="21" t="inlineStr">
        <is>
          <t>15 Oct 2026</t>
        </is>
      </c>
      <c r="G20" s="21" t="inlineStr">
        <is>
          <t>Pendiente</t>
        </is>
      </c>
    </row>
    <row r="21" ht="20" customHeight="1">
      <c r="B21" s="19" t="inlineStr">
        <is>
          <t>60 dias</t>
        </is>
      </c>
      <c r="C21" s="21" t="inlineStr">
        <is>
          <t>Todos</t>
        </is>
      </c>
      <c r="D21" s="20" t="inlineStr">
        <is>
          <t>Primeros ingresos AdSense verificados</t>
        </is>
      </c>
      <c r="E21" s="20" t="inlineStr">
        <is>
          <t>Panel AdSense -&gt; Ganancias</t>
        </is>
      </c>
      <c r="F21" s="21" t="inlineStr">
        <is>
          <t>15 Oct 2026</t>
        </is>
      </c>
      <c r="G21" s="21" t="inlineStr">
        <is>
          <t>Pendiente</t>
        </is>
      </c>
    </row>
    <row r="22" ht="20" customHeight="1">
      <c r="B22" s="22" t="inlineStr">
        <is>
          <t>90 dias</t>
        </is>
      </c>
      <c r="C22" s="24" t="inlineStr">
        <is>
          <t>Guia del Piscina</t>
        </is>
      </c>
      <c r="D22" s="23" t="inlineStr">
        <is>
          <t>Top 5 para keyword principal</t>
        </is>
      </c>
      <c r="E22" s="23" t="inlineStr">
        <is>
          <t>robot limpiafondos piscina o cloro piscina</t>
        </is>
      </c>
      <c r="F22" s="24" t="inlineStr">
        <is>
          <t>15 Nov 2026</t>
        </is>
      </c>
      <c r="G22" s="24" t="inlineStr">
        <is>
          <t>Pendiente</t>
        </is>
      </c>
    </row>
    <row r="23" ht="20" customHeight="1">
      <c r="B23" s="22" t="inlineStr">
        <is>
          <t>90 dias</t>
        </is>
      </c>
      <c r="C23" s="24" t="inlineStr">
        <is>
          <t>Cuida Tu Mascota</t>
        </is>
      </c>
      <c r="D23" s="23" t="inlineStr">
        <is>
          <t>Top 5 para keyword principal</t>
        </is>
      </c>
      <c r="E23" s="23" t="inlineStr">
        <is>
          <t>mejor pienso perros o collar antiparasitario</t>
        </is>
      </c>
      <c r="F23" s="24" t="inlineStr">
        <is>
          <t>15 Nov 2026</t>
        </is>
      </c>
      <c r="G23" s="24" t="inlineStr">
        <is>
          <t>Pendiente</t>
        </is>
      </c>
    </row>
    <row r="24" ht="20" customHeight="1">
      <c r="B24" s="22" t="inlineStr">
        <is>
          <t>90 dias</t>
        </is>
      </c>
      <c r="C24" s="24" t="inlineStr">
        <is>
          <t>Fitness Facil</t>
        </is>
      </c>
      <c r="D24" s="23" t="inlineStr">
        <is>
          <t>Top 5 para keyword principal</t>
        </is>
      </c>
      <c r="E24" s="23" t="inlineStr">
        <is>
          <t>maquina eliptica o bicicleta estatica</t>
        </is>
      </c>
      <c r="F24" s="24" t="inlineStr">
        <is>
          <t>15 Nov 2026</t>
        </is>
      </c>
      <c r="G24" s="24" t="inlineStr">
        <is>
          <t>Pendiente</t>
        </is>
      </c>
    </row>
    <row r="25" ht="20" customHeight="1">
      <c r="B25" s="22" t="inlineStr">
        <is>
          <t>90 dias</t>
        </is>
      </c>
      <c r="C25" s="24" t="inlineStr">
        <is>
          <t>Emprende Digital</t>
        </is>
      </c>
      <c r="D25" s="23" t="inlineStr">
        <is>
          <t>Top 5 para keyword principal</t>
        </is>
      </c>
      <c r="E25" s="23" t="inlineStr">
        <is>
          <t>herramientas IA o tablet trabajo</t>
        </is>
      </c>
      <c r="F25" s="24" t="inlineStr">
        <is>
          <t>15 Nov 2026</t>
        </is>
      </c>
      <c r="G25" s="24" t="inlineStr">
        <is>
          <t>Pendiente</t>
        </is>
      </c>
    </row>
    <row r="26" ht="20" customHeight="1">
      <c r="B26" s="22" t="inlineStr">
        <is>
          <t>90 dias</t>
        </is>
      </c>
      <c r="C26" s="24" t="inlineStr">
        <is>
          <t>JugueteSTEM</t>
        </is>
      </c>
      <c r="D26" s="23" t="inlineStr">
        <is>
          <t>Top 5 para keyword principal</t>
        </is>
      </c>
      <c r="E26" s="23" t="inlineStr">
        <is>
          <t>juguetes educativos o kit robotica ninos</t>
        </is>
      </c>
      <c r="F26" s="24" t="inlineStr">
        <is>
          <t>15 Nov 2026</t>
        </is>
      </c>
      <c r="G26" s="24" t="inlineStr">
        <is>
          <t>Pendiente</t>
        </is>
      </c>
    </row>
    <row r="27" ht="20" customHeight="1">
      <c r="B27" s="22" t="inlineStr">
        <is>
          <t>90 dias</t>
        </is>
      </c>
      <c r="C27" s="24" t="inlineStr">
        <is>
          <t>Todos</t>
        </is>
      </c>
      <c r="D27" s="23" t="inlineStr">
        <is>
          <t>Trafico organico +60% vs linea base</t>
        </is>
      </c>
      <c r="E27" s="23" t="inlineStr">
        <is>
          <t>GA4 -&gt; Adquisicion -&gt; Organico vs agosto</t>
        </is>
      </c>
      <c r="F27" s="24" t="inlineStr">
        <is>
          <t>15 Nov 2026</t>
        </is>
      </c>
      <c r="G27" s="24" t="inlineStr">
        <is>
          <t>Pendiente</t>
        </is>
      </c>
    </row>
    <row r="28" ht="20" customHeight="1">
      <c r="B28" s="22" t="inlineStr">
        <is>
          <t>90 dias</t>
        </is>
      </c>
      <c r="C28" s="24" t="inlineStr">
        <is>
          <t>Todos</t>
        </is>
      </c>
      <c r="D28" s="23" t="inlineStr">
        <is>
          <t>Ingresos AdSense minimo 50 EUR/mes combinados</t>
        </is>
      </c>
      <c r="E28" s="23" t="inlineStr">
        <is>
          <t>Panel AdSense -&gt; Ganancias mensuales</t>
        </is>
      </c>
      <c r="F28" s="24" t="inlineStr">
        <is>
          <t>15 Nov 2026</t>
        </is>
      </c>
      <c r="G28" s="24" t="inlineStr">
        <is>
          <t>Pendiente</t>
        </is>
      </c>
    </row>
    <row r="29" ht="20" customHeight="1">
      <c r="B29" s="22" t="inlineStr">
        <is>
          <t>90 dias</t>
        </is>
      </c>
      <c r="C29" s="24" t="inlineStr">
        <is>
          <t>Todos</t>
        </is>
      </c>
      <c r="D29" s="23" t="inlineStr">
        <is>
          <t>Backlinks nuevos: minimo 3 por sitio</t>
        </is>
      </c>
      <c r="E29" s="23" t="inlineStr">
        <is>
          <t>Ahrefs / GSC -&gt; Links externos</t>
        </is>
      </c>
      <c r="F29" s="24" t="inlineStr">
        <is>
          <t>15 Nov 2026</t>
        </is>
      </c>
      <c r="G29" s="24" t="inlineStr">
        <is>
          <t>Pendiente</t>
        </is>
      </c>
    </row>
  </sheetData>
  <mergeCells count="1">
    <mergeCell ref="B2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58" customWidth="1" min="4" max="4"/>
    <col width="22" customWidth="1" min="5" max="5"/>
  </cols>
  <sheetData>
    <row r="1" ht="8" customHeight="1"/>
    <row r="2" ht="26" customHeight="1">
      <c r="B2" s="14" t="inlineStr">
        <is>
          <t>PROTOCOLO DE MEDICION SEMANAL Y MENSUAL</t>
        </is>
      </c>
    </row>
    <row r="3" ht="26" customHeight="1"/>
    <row r="5" ht="26" customHeight="1">
      <c r="B5" s="3" t="inlineStr">
        <is>
          <t>Frecuencia</t>
        </is>
      </c>
      <c r="C5" s="3" t="inlineStr">
        <is>
          <t>Tarea</t>
        </is>
      </c>
      <c r="D5" s="3" t="inlineStr">
        <is>
          <t>Como ejecutarla</t>
        </is>
      </c>
      <c r="E5" s="3" t="inlineStr">
        <is>
          <t>Herramienta</t>
        </is>
      </c>
    </row>
    <row r="6" ht="48" customHeight="1">
      <c r="B6" s="8" t="inlineStr">
        <is>
          <t>SEMANAL (Lunes)</t>
        </is>
      </c>
      <c r="C6" s="8" t="inlineStr">
        <is>
          <t>Exportar posiciones GSC</t>
        </is>
      </c>
      <c r="D6" s="49" t="inlineStr">
        <is>
          <t>GSC -&gt; Rendimiento -&gt; Consultas -&gt; Periodo 7 dias -&gt; Ordenar por posicion -&gt; Exportar CSV</t>
        </is>
      </c>
      <c r="E6" s="49" t="inlineStr">
        <is>
          <t>Google Search Console</t>
        </is>
      </c>
    </row>
    <row r="7" ht="48" customHeight="1">
      <c r="B7" s="4" t="inlineStr">
        <is>
          <t>SEMANAL (Lunes)</t>
        </is>
      </c>
      <c r="C7" s="4" t="inlineStr">
        <is>
          <t>Actualizar hoja Tracking</t>
        </is>
      </c>
      <c r="D7" s="50" t="inlineStr">
        <is>
          <t>Copiar posicion media de cada keyword en la columna de la semana correspondiente en la hoja Tracking Posiciones</t>
        </is>
      </c>
      <c r="E7" s="50" t="inlineStr">
        <is>
          <t>Este Excel</t>
        </is>
      </c>
    </row>
    <row r="8" ht="48" customHeight="1">
      <c r="B8" s="8" t="inlineStr">
        <is>
          <t>SEMANAL (Lunes)</t>
        </is>
      </c>
      <c r="C8" s="8" t="inlineStr">
        <is>
          <t>Revisar CTR bajo</t>
        </is>
      </c>
      <c r="D8" s="49" t="inlineStr">
        <is>
          <t>GSC -&gt; Rendimiento -&gt; Paginas -&gt; Filtrar CTR &lt; 1.5% -&gt; Mejorar title y meta description de esas paginas</t>
        </is>
      </c>
      <c r="E8" s="49" t="inlineStr">
        <is>
          <t>Google Search Console</t>
        </is>
      </c>
    </row>
    <row r="9" ht="48" customHeight="1">
      <c r="B9" s="4" t="inlineStr">
        <is>
          <t>SEMANAL (Lunes)</t>
        </is>
      </c>
      <c r="C9" s="4" t="inlineStr">
        <is>
          <t>Comprobar errores GSC</t>
        </is>
      </c>
      <c r="D9" s="50" t="inlineStr">
        <is>
          <t>GSC -&gt; Cobertura -&gt; Verificar que no hay nuevos errores de indexacion o mobile usability</t>
        </is>
      </c>
      <c r="E9" s="50" t="inlineStr">
        <is>
          <t>Google Search Console</t>
        </is>
      </c>
    </row>
    <row r="10" ht="48" customHeight="1">
      <c r="B10" s="8" t="inlineStr">
        <is>
          <t>MENSUAL (Dia 1-3)</t>
        </is>
      </c>
      <c r="C10" s="8" t="inlineStr">
        <is>
          <t>Comparativa trafico organico</t>
        </is>
      </c>
      <c r="D10" s="49" t="inlineStr">
        <is>
          <t>GA4 -&gt; Informes -&gt; Adquisicion -&gt; Trafico organico -&gt; Comparar con mes anterior en sesiones e impresiones</t>
        </is>
      </c>
      <c r="E10" s="49" t="inlineStr">
        <is>
          <t>Google Analytics 4</t>
        </is>
      </c>
    </row>
    <row r="11" ht="48" customHeight="1">
      <c r="B11" s="4" t="inlineStr">
        <is>
          <t>MENSUAL (Dia 1-3)</t>
        </is>
      </c>
      <c r="C11" s="4" t="inlineStr">
        <is>
          <t>Verificar indexacion URLs nuevas</t>
        </is>
      </c>
      <c r="D11" s="50" t="inlineStr">
        <is>
          <t>GSC -&gt; Cobertura -&gt; Validas -&gt; Comparar total con mes anterior. Enviar sitemap si hay URLs sin indexar.</t>
        </is>
      </c>
      <c r="E11" s="50" t="inlineStr">
        <is>
          <t>Google Search Console</t>
        </is>
      </c>
    </row>
    <row r="12" ht="48" customHeight="1">
      <c r="B12" s="8" t="inlineStr">
        <is>
          <t>MENSUAL (Dia 1-3)</t>
        </is>
      </c>
      <c r="C12" s="8" t="inlineStr">
        <is>
          <t>Revisar Rich Results</t>
        </is>
      </c>
      <c r="D12" s="49" t="inlineStr">
        <is>
          <t>GSC -&gt; Mejoras -&gt; Verificar 0 errores en HowTo, FAQPage, Product, Article de todos los sitios</t>
        </is>
      </c>
      <c r="E12" s="49" t="inlineStr">
        <is>
          <t>GSC + Rich Results Test</t>
        </is>
      </c>
    </row>
    <row r="13" ht="48" customHeight="1">
      <c r="B13" s="4" t="inlineStr">
        <is>
          <t>MENSUAL (Dia 1-3)</t>
        </is>
      </c>
      <c r="C13" s="4" t="inlineStr">
        <is>
          <t>Revisar ingresos AdSense</t>
        </is>
      </c>
      <c r="D13" s="50" t="inlineStr">
        <is>
          <t>Panel AdSense -&gt; Informes -&gt; Ingresos por pagina -&gt; Identificar mejores y peores paginas</t>
        </is>
      </c>
      <c r="E13" s="50" t="inlineStr">
        <is>
          <t>Google AdSense</t>
        </is>
      </c>
    </row>
    <row r="14" ht="48" customHeight="1">
      <c r="B14" s="8" t="inlineStr">
        <is>
          <t>MENSUAL (Dia 1-3)</t>
        </is>
      </c>
      <c r="C14" s="8" t="inlineStr">
        <is>
          <t>Actualizar Dashboard y Hitos</t>
        </is>
      </c>
      <c r="D14" s="49" t="inlineStr">
        <is>
          <t>Rellenar columnas 30d/60d/90d del Dashboard. Marcar hitos completados.</t>
        </is>
      </c>
      <c r="E14" s="49" t="inlineStr">
        <is>
          <t>Este Excel</t>
        </is>
      </c>
    </row>
    <row r="15" ht="48" customHeight="1">
      <c r="B15" s="4" t="inlineStr">
        <is>
          <t>TRIMESTRAL (90d)</t>
        </is>
      </c>
      <c r="C15" s="4" t="inlineStr">
        <is>
          <t>Auditoria SEO completa</t>
        </is>
      </c>
      <c r="D15" s="50" t="inlineStr">
        <is>
          <t>Revisar Core Web Vitals, schema markup, internal linking, contenido desactualizado, nuevas keywords objetivo</t>
        </is>
      </c>
      <c r="E15" s="50" t="inlineStr">
        <is>
          <t>PageSpeed + GSC + Ahrefs</t>
        </is>
      </c>
    </row>
    <row r="16" ht="48" customHeight="1">
      <c r="B16" s="8" t="inlineStr">
        <is>
          <t>TRIMESTRAL (90d)</t>
        </is>
      </c>
      <c r="C16" s="8" t="inlineStr">
        <is>
          <t>Estrategia de contenido siguiente trimestre</t>
        </is>
      </c>
      <c r="D16" s="49" t="inlineStr">
        <is>
          <t>Analizar keywords en posicion 11-30 con potencial de escalar con mejoras de contenido o links</t>
        </is>
      </c>
      <c r="E16" s="49" t="inlineStr">
        <is>
          <t>GSC + Este Excel</t>
        </is>
      </c>
    </row>
  </sheetData>
  <mergeCells count="1"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2026-08-15T18:43:15Z</dcterms:created>
  <dcterms:modified xmlns:dcterms="http://purl.org/dc/terms/" xmlns:xsi="http://www.w3.org/2001/XMLSchema-instance" xsi:type="dcterms:W3CDTF">2026-08-15T18:43:15Z</dcterms:modified>
</cp:coreProperties>
</file>